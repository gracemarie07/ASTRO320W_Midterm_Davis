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10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1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f6eabf1d0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 Bias" sheetId="1" r:id="R893ebe594dba4bb2"/>
    <x:sheet xmlns:r="http://schemas.openxmlformats.org/officeDocument/2006/relationships" name="A Dark" sheetId="2" r:id="R88c9ee5b482746e7"/>
    <x:sheet xmlns:r="http://schemas.openxmlformats.org/officeDocument/2006/relationships" name="B Gain" sheetId="3" r:id="R7ecdd888418c4149"/>
    <x:sheet xmlns:r="http://schemas.openxmlformats.org/officeDocument/2006/relationships" name="C Focus" sheetId="4" r:id="Re87ae90d96e644fe"/>
    <x:sheet xmlns:r="http://schemas.openxmlformats.org/officeDocument/2006/relationships" name="C Repeatability" sheetId="5" r:id="Rf945aafd0b4b46e5"/>
    <x:sheet xmlns:r="http://schemas.openxmlformats.org/officeDocument/2006/relationships" name="C Exposure" sheetId="6" r:id="R053604d8879c462d"/>
    <x:sheet xmlns:r="http://schemas.openxmlformats.org/officeDocument/2006/relationships" name="D Colors" sheetId="7" r:id="Rd61e6c3d70db4765"/>
    <x:sheet xmlns:r="http://schemas.openxmlformats.org/officeDocument/2006/relationships" name="E Scale" sheetId="8" r:id="Raee33751982f40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0.000"/>
    <x:numFmt numFmtId="201" formatCode="0.000000"/>
    <x:numFmt numFmtId="202" formatCode="0.000000000"/>
    <x:numFmt numFmtId="203" formatCode="#,##0"/>
    <x:numFmt numFmtId="204" formatCode="0"/>
    <x:numFmt numFmtId="205" formatCode="#,##0.00"/>
    <x:numFmt numFmtId="206" formatCode="0.00%"/>
    <x:numFmt numFmtId="207" formatCode="0.000%"/>
    <x:numFmt numFmtId="208" formatCode="0.0%"/>
    <x:numFmt numFmtId="209" formatCode="0.00000000"/>
    <x:numFmt numFmtId="210" formatCode="0.00"/>
    <x:numFmt numFmtId="211" formatCode="0.0000"/>
  </x:numFmts>
  <x:fonts count="6">
    <x:font>
      <x:sz val="11"/>
      <x:name val="Carlito"/>
    </x:font>
    <x:font>
      <x:sz val="10"/>
      <x:color rgb="FF000000"/>
      <x:name val="Arial"/>
    </x:font>
    <x:font>
      <x:b/>
      <x:sz val="14"/>
      <x:color rgb="FF000000"/>
      <x:name val="Arial"/>
    </x:font>
    <x:font>
      <x:i/>
      <x:sz val="10"/>
      <x:color rgb="FF5C5C5C"/>
      <x:name val="Arial"/>
    </x:font>
    <x:font>
      <x:b/>
      <x:sz val="10"/>
      <x:color rgb="FF000000"/>
      <x:name val="Arial"/>
    </x:font>
    <x:font>
      <x:b/>
      <x:sz val="11"/>
      <x:color rgb="FF000000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/>
    <x:xf numFmtId="210" fontId="1" fillId="0" borderId="0" xfId="0" applyNumberFormat="1" applyFont="1" applyFill="1" applyBorder="1" applyAlignment="1">
      <x:alignment vertical="center"/>
    </x:xf>
    <x:xf numFmtId="210" fontId="4" fillId="0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13c103ce774d76" /><Relationship Type="http://schemas.openxmlformats.org/officeDocument/2006/relationships/theme" Target="/xl/theme/theme1.xml" Id="R61f67f38e776459e" /><Relationship Type="http://schemas.openxmlformats.org/officeDocument/2006/relationships/sharedStrings" Target="/xl/sharedStrings.xml" Id="Rc812d97eb5d644b3" /><Relationship Type="http://schemas.openxmlformats.org/officeDocument/2006/relationships/worksheet" Target="/xl/worksheets/sheet1.xml" Id="R893ebe594dba4bb2" /><Relationship Type="http://schemas.openxmlformats.org/officeDocument/2006/relationships/worksheet" Target="/xl/worksheets/sheet2.xml" Id="R88c9ee5b482746e7" /><Relationship Type="http://schemas.openxmlformats.org/officeDocument/2006/relationships/worksheet" Target="/xl/worksheets/sheet3.xml" Id="R7ecdd888418c4149" /><Relationship Type="http://schemas.openxmlformats.org/officeDocument/2006/relationships/worksheet" Target="/xl/worksheets/sheet4.xml" Id="Re87ae90d96e644fe" /><Relationship Type="http://schemas.openxmlformats.org/officeDocument/2006/relationships/worksheet" Target="/xl/worksheets/sheet5.xml" Id="Rf945aafd0b4b46e5" /><Relationship Type="http://schemas.openxmlformats.org/officeDocument/2006/relationships/worksheet" Target="/xl/worksheets/sheet6.xml" Id="R053604d8879c462d" /><Relationship Type="http://schemas.openxmlformats.org/officeDocument/2006/relationships/worksheet" Target="/xl/worksheets/sheet7.xml" Id="Rd61e6c3d70db4765" /><Relationship Type="http://schemas.openxmlformats.org/officeDocument/2006/relationships/worksheet" Target="/xl/worksheets/sheet8.xml" Id="Raee33751982f40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31c35f6db044f7" /><Relationship Type="http://schemas.openxmlformats.org/officeDocument/2006/relationships/chart" Target="/xl/drawings/charts/chart2.xml" Id="R5c90c197683c468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069082990de4d5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be494f365c84e6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05e65755cda40d2" /><Relationship Type="http://schemas.openxmlformats.org/officeDocument/2006/relationships/chart" Target="/xl/drawings/charts/chart6.xml" Id="R562e3f3e24584d0d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0254c5f1ea8245dc" /><Relationship Type="http://schemas.openxmlformats.org/officeDocument/2006/relationships/chart" Target="/xl/drawings/charts/chart8.xml" Id="R34dcec69ce904f18" /><Relationship Type="http://schemas.openxmlformats.org/officeDocument/2006/relationships/chart" Target="/xl/drawings/charts/chart9.xml" Id="R39d38cffe0db449f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e195870fdfd7479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1.xml" Id="R523fb20285a14b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Dark charge versus time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Series 1</c:v>
          </c:tx>
          <c:xVal>
            <c:numRef>
              <c:f>'A Dark'!$B$9:$B$14</c:f>
              <c:numCache>
                <c:formatCode>0.000</c:formatCode>
                <c:ptCount val="0"/>
              </c:numCache>
            </c:numRef>
          </c:xVal>
          <c:yVal>
            <c:numRef>
              <c:f>'A Dark'!$D$9:$D$14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Charge (e-/pixel)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Time (s)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Linearized temperature relation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Series 1</c:v>
          </c:tx>
          <c:xVal>
            <c:numRef>
              <c:f>'A Dark'!$J$28:$J$31</c:f>
              <c:numCache>
                <c:formatCode>0.000000</c:formatCode>
                <c:ptCount val="0"/>
              </c:numCache>
            </c:numRef>
          </c:xVal>
          <c:yVal>
            <c:numRef>
              <c:f>'A Dark'!$K$28:$K$31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ln(I/Iref)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1/T (1/K)</a:t>
                </a: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Paired-flat variance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Series 1</c:v>
          </c:tx>
          <c:xVal>
            <c:numRef>
              <c:f>'B Gain'!$F$8:$F$27</c:f>
              <c:numCache>
                <c:formatCode>0.000</c:formatCode>
                <c:ptCount val="0"/>
              </c:numCache>
            </c:numRef>
          </c:xVal>
          <c:yVal>
            <c:numRef>
              <c:f>'B Gain'!$G$8:$G$27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Variance (DN2)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Signal (DN)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Focus sequence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Series 1</c:v>
          </c:tx>
          <c:xVal>
            <c:numRef>
              <c:f>'C Focus'!$B$8:$B$15</c:f>
              <c:numCache>
                <c:formatCode>0.000</c:formatCode>
                <c:ptCount val="0"/>
              </c:numCache>
            </c:numRef>
          </c:xVal>
          <c:yVal>
            <c:numRef>
              <c:f>'C Focus'!$C$8:$C$15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FWHM (pixel)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Focus (micron)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Ogma deviations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Series 1</c:v>
          </c:tx>
          <c:xVal>
            <c:numRef>
              <c:f>'C Repeatability'!$A$8:$A$22</c:f>
              <c:numCache>
                <c:formatCode>0.000</c:formatCode>
                <c:ptCount val="0"/>
              </c:numCache>
            </c:numRef>
          </c:xVal>
          <c:yVal>
            <c:numRef>
              <c:f>'C Repeatability'!$F$8:$F$22</c:f>
              <c:numCache>
                <c:formatCode>0.00%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Fractional deviation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Frame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Unsaturated-star deviations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Series 1</c:v>
          </c:tx>
          <c:xVal>
            <c:numRef>
              <c:f>'C Repeatability'!$A$33:$A$47</c:f>
              <c:numCache>
                <c:formatCode>0.000</c:formatCode>
                <c:ptCount val="0"/>
              </c:numCache>
            </c:numRef>
          </c:xVal>
          <c:yVal>
            <c:numRef>
              <c:f>'C Repeatability'!$F$33:$F$47</c:f>
              <c:numCache>
                <c:formatCode>0.00%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Fractional deviation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Frame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Image width versus time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Series 1</c:v>
          </c:tx>
          <c:xVal>
            <c:numRef>
              <c:f>'C Exposure'!$B$8:$B$19</c:f>
              <c:numCache>
                <c:formatCode>0.000</c:formatCode>
                <c:ptCount val="0"/>
              </c:numCache>
            </c:numRef>
          </c:xVal>
          <c:yVal>
            <c:numRef>
              <c:f>'C Exposure'!$D$8:$D$19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FWHM (pixels)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Time (s)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Count rate versus time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Series 1</c:v>
          </c:tx>
          <c:xVal>
            <c:numRef>
              <c:f>'C Exposure'!$B$8:$B$19</c:f>
              <c:numCache>
                <c:formatCode>0.000</c:formatCode>
                <c:ptCount val="0"/>
              </c:numCache>
            </c:numRef>
          </c:xVal>
          <c:yVal>
            <c:numRef>
              <c:f>'C Exposure'!$F$8:$F$19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Rate (DN/s)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Time (s)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Ogma net counts versus time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Series 1</c:v>
          </c:tx>
          <c:xVal>
            <c:numRef>
              <c:f>'C Exposure'!$B$8:$B$19</c:f>
              <c:numCache>
                <c:formatCode>0.000</c:formatCode>
                <c:ptCount val="0"/>
              </c:numCache>
            </c:numRef>
          </c:xVal>
          <c:yVal>
            <c:numRef>
              <c:f>'C Exposure'!$C$8:$C$19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Net counts (DN)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Time (s)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M29 instrumental colors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Series 1</c:v>
          </c:tx>
          <c:xVal>
            <c:numRef>
              <c:f>'D Colors'!$B$26:$B$35</c:f>
              <c:numCache>
                <c:formatCode>0.000</c:formatCode>
                <c:ptCount val="0"/>
              </c:numCache>
            </c:numRef>
          </c:xVal>
          <c:yVal>
            <c:numRef>
              <c:f>'D Colors'!$C$26:$C$35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V-R (mag)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B-V (mag)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Binary separations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Series 1</c:v>
          </c:tx>
          <c:xVal>
            <c:numRef>
              <c:f>'E Scale'!$I$8:$I$19</c:f>
              <c:numCache>
                <c:formatCode>0.000</c:formatCode>
                <c:ptCount val="0"/>
              </c:numCache>
            </c:numRef>
          </c:xVal>
          <c:yVal>
            <c:numRef>
              <c:f>'E Scale'!$G$8:$G$19</c:f>
              <c:numCache>
                <c:formatCode>0.000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Catalog separation (arcsec)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Pixel separation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44</xdr:row>
      <xdr:rowOff>0</xdr:rowOff>
    </xdr:from>
    <xdr:to>
      <xdr:col>6</xdr:col>
      <xdr:colOff>0</xdr:colOff>
      <xdr:row>60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31c35f6db044f7"/>
        </a:graphicData>
      </a:graphic>
    </xdr:graphicFrame>
    <xdr:clientData/>
  </xdr:twoCellAnchor>
  <xdr:twoCellAnchor>
    <xdr:from>
      <xdr:col>6</xdr:col>
      <xdr:colOff>0</xdr:colOff>
      <xdr:row>44</xdr:row>
      <xdr:rowOff>0</xdr:rowOff>
    </xdr:from>
    <xdr:to>
      <xdr:col>12</xdr:col>
      <xdr:colOff>0</xdr:colOff>
      <xdr:row>60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90c197683c468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46</xdr:row>
      <xdr:rowOff>0</xdr:rowOff>
    </xdr:from>
    <xdr:to>
      <xdr:col>7</xdr:col>
      <xdr:colOff>0</xdr:colOff>
      <xdr:row>64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69082990de4d5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e494f365c84e6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59</xdr:row>
      <xdr:rowOff>0</xdr:rowOff>
    </xdr:from>
    <xdr:to>
      <xdr:col>6</xdr:col>
      <xdr:colOff>0</xdr:colOff>
      <xdr:row>77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5e65755cda40d2"/>
        </a:graphicData>
      </a:graphic>
    </xdr:graphicFrame>
    <xdr:clientData/>
  </xdr:twoCellAnchor>
  <xdr:twoCellAnchor>
    <xdr:from>
      <xdr:col>6</xdr:col>
      <xdr:colOff>0</xdr:colOff>
      <xdr:row>59</xdr:row>
      <xdr:rowOff>0</xdr:rowOff>
    </xdr:from>
    <xdr:to>
      <xdr:col>12</xdr:col>
      <xdr:colOff>0</xdr:colOff>
      <xdr:row>77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2e3f3e24584d0d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6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54c5f1ea8245dc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dcec69ce904f18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0</xdr:colOff>
      <xdr:row>64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9d38cffe0db449f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4</xdr:col>
      <xdr:colOff>0</xdr:colOff>
      <xdr:row>24</xdr:row>
      <xdr:rowOff>0</xdr:rowOff>
    </xdr:from>
    <xdr:to>
      <xdr:col>12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95870fdfd7479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51</xdr:row>
      <xdr:rowOff>0</xdr:rowOff>
    </xdr:from>
    <xdr:to>
      <xdr:col>8</xdr:col>
      <xdr:colOff>0</xdr:colOff>
      <xdr:row>70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3fb20285a14b6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4104ad76db348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2cbdfb1f23844b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84c00b8f25d46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5222b7f85a1247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f1dcf2cae9bf46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d5567e64b34c4a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51bcfe2c8afa4032" /></Relationships>
</file>

<file path=xl/worksheets/sheet1.xml><?xml version="1.0" encoding="utf-8"?>
<x:worksheet xmlns:x="http://schemas.openxmlformats.org/spreadsheetml/2006/main">
  <x:sheetViews>
    <x:sheetView showGridLines="1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0" customHeight="1">
      <x:c r="A2" s="4" t="str">
        <x:v>Exercise A: Bias and read noise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0" customHeight="1">
      <x:c r="A4" s="5" t="str">
        <x:v>Sources: raw_bias_statistics.csv, bias_subtracted_statistics.csv, and the two bias-pair CSVs.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4" customHeight="1">
      <x:c r="A7" s="7" t="str">
        <x:v>Frame</x:v>
      </x:c>
      <x:c r="B7" s="7" t="str">
        <x:v>Raw spatial SD (DN)</x:v>
      </x:c>
      <x:c r="C7" s="7" t="str">
        <x:v>Corrected SD (DN)</x:v>
      </x:c>
      <x:c r="D7" s="7" t="str">
        <x:v>Pair entry</x:v>
      </x:c>
      <x:c r="E7" s="7" t="str">
        <x:v>Full diff SD (DN)</x:v>
      </x:c>
      <x:c r="F7" s="7" t="str">
        <x:v>Central diff SD (DN)</x:v>
      </x:c>
      <x:c r="G7" s="7" t="str">
        <x:v>Full RN (DN)</x:v>
      </x:c>
      <x:c r="H7" s="7" t="str">
        <x:v>Central RN (DN)</x:v>
      </x:c>
      <x:c r="I7" s="3"/>
      <x:c r="J7" s="3" t="str">
        <x:v>Central bias mean (DN)</x:v>
      </x:c>
      <x:c r="K7" s="3"/>
      <x:c r="L7" s="3"/>
    </x:row>
    <x:row r="8" ht="20" customHeight="1">
      <x:c r="A8" s="12" t="n">
        <x:v>1</x:v>
      </x:c>
      <x:c r="B8" s="3" t="n">
        <x:v>13.780199636806506</x:v>
      </x:c>
      <x:c r="C8" s="3" t="n">
        <x:v>9.75100205292099</x:v>
      </x:c>
      <x:c r="D8" s="12" t="n">
        <x:v>1</x:v>
      </x:c>
      <x:c r="E8" s="3" t="n">
        <x:v>14.211313964816403</x:v>
      </x:c>
      <x:c r="F8" s="3" t="n">
        <x:v>14.186546366180176</x:v>
      </x:c>
      <x:c r="G8" s="3" t="n">
        <x:f>E8/SQRT(2)</x:f>
        <x:v>10.048916474092758</x:v>
      </x:c>
      <x:c r="H8" s="3" t="n">
        <x:f>F8/SQRT(2)</x:f>
        <x:v>10.031403137143375</x:v>
      </x:c>
      <x:c r="I8" s="3"/>
      <x:c r="J8" s="3" t="n">
        <x:v>1037.8408</x:v>
      </x:c>
      <x:c r="K8" s="3"/>
      <x:c r="L8" s="3"/>
    </x:row>
    <x:row r="9" ht="20" customHeight="1">
      <x:c r="A9" s="12" t="n">
        <x:v>2</x:v>
      </x:c>
      <x:c r="B9" s="3" t="n">
        <x:v>13.816895242398271</x:v>
      </x:c>
      <x:c r="C9" s="3" t="n">
        <x:v>9.837411566619318</x:v>
      </x:c>
      <x:c r="D9" s="12" t="n">
        <x:v>2</x:v>
      </x:c>
      <x:c r="E9" s="3" t="n">
        <x:v>14.199214020220479</x:v>
      </x:c>
      <x:c r="F9" s="3" t="n">
        <x:v>14.057667396878621</x:v>
      </x:c>
      <x:c r="G9" s="3" t="n">
        <x:f>E9/SQRT(2)</x:f>
        <x:v>10.040360521217</x:v>
      </x:c>
      <x:c r="H9" s="3" t="n">
        <x:f>F9/SQRT(2)</x:f>
        <x:v>9.940271943997914</x:v>
      </x:c>
      <x:c r="I9" s="3"/>
      <x:c r="J9" s="3" t="n">
        <x:v>1038.3559</x:v>
      </x:c>
      <x:c r="K9" s="3"/>
      <x:c r="L9" s="3"/>
    </x:row>
    <x:row r="10" ht="20" customHeight="1">
      <x:c r="A10" s="12" t="n">
        <x:v>3</x:v>
      </x:c>
      <x:c r="B10" s="3" t="n">
        <x:v>13.862618897791489</x:v>
      </x:c>
      <x:c r="C10" s="3" t="n">
        <x:v>9.782858052943347</x:v>
      </x:c>
      <x:c r="D10" s="12" t="n">
        <x:v>3</x:v>
      </x:c>
      <x:c r="E10" s="3" t="n">
        <x:v>14.266990722859985</x:v>
      </x:c>
      <x:c r="F10" s="3" t="n">
        <x:v>14.242993769820751</x:v>
      </x:c>
      <x:c r="G10" s="3" t="n">
        <x:f>E10/SQRT(2)</x:f>
        <x:v>10.088285887259858</x:v>
      </x:c>
      <x:c r="H10" s="3" t="n">
        <x:f>F10/SQRT(2)</x:f>
        <x:v>10.071317479038001</x:v>
      </x:c>
      <x:c r="I10" s="3"/>
      <x:c r="J10" s="3" t="n">
        <x:v>1038.4739</x:v>
      </x:c>
      <x:c r="K10" s="3"/>
      <x:c r="L10" s="3"/>
    </x:row>
    <x:row r="11" ht="20" customHeight="1">
      <x:c r="A11" s="12" t="n">
        <x:v>4</x:v>
      </x:c>
      <x:c r="B11" s="3" t="n">
        <x:v>13.783377466278825</x:v>
      </x:c>
      <x:c r="C11" s="3" t="n">
        <x:v>9.792143042738426</x:v>
      </x:c>
      <x:c r="D11" s="12" t="n">
        <x:v>4</x:v>
      </x:c>
      <x:c r="E11" s="3" t="n">
        <x:v>14.172774556419014</x:v>
      </x:c>
      <x:c r="F11" s="3" t="n">
        <x:v>14.099525198427148</x:v>
      </x:c>
      <x:c r="G11" s="3" t="n">
        <x:f>E11/SQRT(2)</x:f>
        <x:v>10.021664997072047</x:v>
      </x:c>
      <x:c r="H11" s="3" t="n">
        <x:f>F11/SQRT(2)</x:f>
        <x:v>9.969869879318438</x:v>
      </x:c>
      <x:c r="I11" s="3"/>
      <x:c r="J11" s="3" t="n">
        <x:v>1038.3185</x:v>
      </x:c>
      <x:c r="K11" s="3"/>
      <x:c r="L11" s="3"/>
    </x:row>
    <x:row r="12" ht="20" customHeight="1">
      <x:c r="A12" s="12" t="n">
        <x:v>5</x:v>
      </x:c>
      <x:c r="B12" s="3" t="n">
        <x:v>13.92210483155993</x:v>
      </x:c>
      <x:c r="C12" s="3" t="n">
        <x:v>9.844608004583533</x:v>
      </x:c>
      <x:c r="D12" s="12" t="n">
        <x:v>5</x:v>
      </x:c>
      <x:c r="E12" s="3" t="n">
        <x:v>14.209225572433867</x:v>
      </x:c>
      <x:c r="F12" s="3" t="n">
        <x:v>14.208715019601556</x:v>
      </x:c>
      <x:c r="G12" s="3" t="n">
        <x:f>E12/SQRT(2)</x:f>
        <x:v>10.047439757677289</x:v>
      </x:c>
      <x:c r="H12" s="3" t="n">
        <x:f>F12/SQRT(2)</x:f>
        <x:v>10.047078742307407</x:v>
      </x:c>
      <x:c r="I12" s="3"/>
      <x:c r="J12" s="3" t="n">
        <x:v>1038.4935</x:v>
      </x:c>
      <x:c r="K12" s="3"/>
      <x:c r="L12" s="3"/>
    </x:row>
    <x:row r="13" ht="20" customHeight="1">
      <x:c r="A13" s="12" t="n">
        <x:v>6</x:v>
      </x:c>
      <x:c r="B13" s="3" t="n">
        <x:v>13.81368864039618</x:v>
      </x:c>
      <x:c r="C13" s="3" t="n">
        <x:v>9.817615306721704</x:v>
      </x:c>
      <x:c r="D13" s="12" t="n">
        <x:v>6</x:v>
      </x:c>
      <x:c r="E13" s="3" t="n">
        <x:v>14.193404024257505</x:v>
      </x:c>
      <x:c r="F13" s="3" t="n">
        <x:v>14.26309411822633</x:v>
      </x:c>
      <x:c r="G13" s="3" t="n">
        <x:f>E13/SQRT(2)</x:f>
        <x:v>10.036252233672915</x:v>
      </x:c>
      <x:c r="H13" s="3" t="n">
        <x:f>F13/SQRT(2)</x:f>
        <x:v>10.085530571699799</x:v>
      </x:c>
      <x:c r="I13" s="3"/>
      <x:c r="J13" s="3" t="n">
        <x:v>1038.7861</x:v>
      </x:c>
      <x:c r="K13" s="3"/>
      <x:c r="L13" s="3"/>
    </x:row>
    <x:row r="14" ht="20" customHeight="1">
      <x:c r="A14" s="12" t="n">
        <x:v>7</x:v>
      </x:c>
      <x:c r="B14" s="3" t="n">
        <x:v>14.017303876743725</x:v>
      </x:c>
      <x:c r="C14" s="3" t="n">
        <x:v>9.77127493558949</x:v>
      </x:c>
      <x:c r="D14" s="12" t="n">
        <x:v>7</x:v>
      </x:c>
      <x:c r="E14" s="3" t="n">
        <x:v>14.173111805556612</x:v>
      </x:c>
      <x:c r="F14" s="3" t="n">
        <x:v>14.140879020978455</x:v>
      </x:c>
      <x:c r="G14" s="3" t="n">
        <x:f>E14/SQRT(2)</x:f>
        <x:v>10.021903468224192</x:v>
      </x:c>
      <x:c r="H14" s="3" t="n">
        <x:f>F14/SQRT(2)</x:f>
        <x:v>9.999111447672451</x:v>
      </x:c>
      <x:c r="I14" s="3"/>
      <x:c r="J14" s="3" t="n">
        <x:v>1038.6757</x:v>
      </x:c>
      <x:c r="K14" s="3"/>
      <x:c r="L14" s="3"/>
    </x:row>
    <x:row r="15" ht="20" customHeight="1">
      <x:c r="A15" s="12" t="n">
        <x:v>8</x:v>
      </x:c>
      <x:c r="B15" s="3" t="n">
        <x:v>13.844393815077304</x:v>
      </x:c>
      <x:c r="C15" s="3" t="n">
        <x:v>9.769156338861936</x:v>
      </x:c>
      <x:c r="D15" s="12" t="n">
        <x:v>8</x:v>
      </x:c>
      <x:c r="E15" s="3" t="n">
        <x:v>14.244603543965882</x:v>
      </x:c>
      <x:c r="F15" s="3" t="n">
        <x:v>14.285548482279005</x:v>
      </x:c>
      <x:c r="G15" s="3" t="n">
        <x:f>E15/SQRT(2)</x:f>
        <x:v>10.072455761252202</x:v>
      </x:c>
      <x:c r="H15" s="3" t="n">
        <x:f>F15/SQRT(2)</x:f>
        <x:v>10.101408204788676</x:v>
      </x:c>
      <x:c r="I15" s="3"/>
      <x:c r="J15" s="3" t="n">
        <x:v>1038.8635</x:v>
      </x:c>
      <x:c r="K15" s="3"/>
      <x:c r="L15" s="3"/>
    </x:row>
    <x:row r="16" ht="20" customHeight="1">
      <x:c r="A16" s="12" t="n">
        <x:v>9</x:v>
      </x:c>
      <x:c r="B16" s="3" t="n">
        <x:v>13.84026268034245</x:v>
      </x:c>
      <x:c r="C16" s="3" t="n">
        <x:v>9.802573072436765</x:v>
      </x:c>
      <x:c r="D16" s="12" t="n">
        <x:v>9</x:v>
      </x:c>
      <x:c r="E16" s="3" t="n">
        <x:v>14.190046054447063</x:v>
      </x:c>
      <x:c r="F16" s="3" t="n">
        <x:v>14.323977163908745</x:v>
      </x:c>
      <x:c r="G16" s="3" t="n">
        <x:f>E16/SQRT(2)</x:f>
        <x:v>10.03387779044893</x:v>
      </x:c>
      <x:c r="H16" s="3" t="n">
        <x:f>F16/SQRT(2)</x:f>
        <x:v>10.128581386161125</x:v>
      </x:c>
      <x:c r="I16" s="3"/>
      <x:c r="J16" s="3" t="n">
        <x:v>1039.0015</x:v>
      </x:c>
      <x:c r="K16" s="3"/>
      <x:c r="L16" s="3"/>
    </x:row>
    <x:row r="17" ht="20" customHeight="1">
      <x:c r="A17" s="12" t="n">
        <x:v>10</x:v>
      </x:c>
      <x:c r="B17" s="3" t="n">
        <x:v>13.816063532203627</x:v>
      </x:c>
      <x:c r="C17" s="3" t="n">
        <x:v>9.783175043941496</x:v>
      </x:c>
      <x:c r="D17" s="12" t="n">
        <x:v>10</x:v>
      </x:c>
      <x:c r="E17" s="3" t="n">
        <x:v>14.197000770331838</x:v>
      </x:c>
      <x:c r="F17" s="3" t="n">
        <x:v>14.246065702459745</x:v>
      </x:c>
      <x:c r="G17" s="3" t="n">
        <x:f>E17/SQRT(2)</x:f>
        <x:v>10.03879551721228</x:v>
      </x:c>
      <x:c r="H17" s="3" t="n">
        <x:f>F17/SQRT(2)</x:f>
        <x:v>10.073489663438382</x:v>
      </x:c>
      <x:c r="I17" s="3"/>
      <x:c r="J17" s="3" t="n">
        <x:v>1039.339</x:v>
      </x:c>
      <x:c r="K17" s="3"/>
      <x:c r="L17" s="3"/>
    </x:row>
    <x:row r="18" ht="20" customHeight="1">
      <x:c r="A18" s="12" t="n">
        <x:v>11</x:v>
      </x:c>
      <x:c r="B18" s="3" t="n">
        <x:v>13.789044672354368</x:v>
      </x:c>
      <x:c r="C18" s="3" t="n">
        <x:v>9.772162861595696</x:v>
      </x:c>
      <x:c r="D18" s="3"/>
      <x:c r="E18" s="3"/>
      <x:c r="F18" s="3"/>
      <x:c r="G18" s="3"/>
      <x:c r="H18" s="3"/>
      <x:c r="I18" s="3"/>
      <x:c r="J18" s="3" t="n">
        <x:v>1039.0274</x:v>
      </x:c>
      <x:c r="K18" s="3"/>
      <x:c r="L18" s="3"/>
    </x:row>
    <x:row r="19" ht="20" customHeight="1">
      <x:c r="A19" s="12" t="n">
        <x:v>12</x:v>
      </x:c>
      <x:c r="B19" s="3" t="n">
        <x:v>13.958087372930047</x:v>
      </x:c>
      <x:c r="C19" s="3" t="n">
        <x:v>9.789138558072608</x:v>
      </x:c>
      <x:c r="D19" s="3"/>
      <x:c r="E19" s="3"/>
      <x:c r="F19" s="3"/>
      <x:c r="G19" s="3"/>
      <x:c r="H19" s="3"/>
      <x:c r="I19" s="3"/>
      <x:c r="J19" s="3" t="n">
        <x:v>1039.3598</x:v>
      </x:c>
      <x:c r="K19" s="3"/>
      <x:c r="L19" s="3"/>
    </x:row>
    <x:row r="20" ht="20" customHeight="1">
      <x:c r="A20" s="12" t="n">
        <x:v>13</x:v>
      </x:c>
      <x:c r="B20" s="3" t="n">
        <x:v>13.696694334840947</x:v>
      </x:c>
      <x:c r="C20" s="3" t="n">
        <x:v>9.773526037936657</x:v>
      </x:c>
      <x:c r="D20" s="3"/>
      <x:c r="E20" s="3"/>
      <x:c r="F20" s="3"/>
      <x:c r="G20" s="3"/>
      <x:c r="H20" s="3"/>
      <x:c r="I20" s="3"/>
      <x:c r="J20" s="3" t="n">
        <x:v>1039.4319</x:v>
      </x:c>
      <x:c r="K20" s="3"/>
      <x:c r="L20" s="3"/>
    </x:row>
    <x:row r="21" ht="20" customHeight="1">
      <x:c r="A21" s="12" t="n">
        <x:v>14</x:v>
      </x:c>
      <x:c r="B21" s="3" t="n">
        <x:v>13.72611233531099</x:v>
      </x:c>
      <x:c r="C21" s="3" t="n">
        <x:v>9.76534155716646</x:v>
      </x:c>
      <x:c r="D21" s="3"/>
      <x:c r="E21" s="3"/>
      <x:c r="F21" s="3"/>
      <x:c r="G21" s="3"/>
      <x:c r="H21" s="3"/>
      <x:c r="I21" s="3"/>
      <x:c r="J21" s="3" t="n">
        <x:v>1039.2583</x:v>
      </x:c>
      <x:c r="K21" s="3"/>
      <x:c r="L21" s="3"/>
    </x:row>
    <x:row r="22" ht="20" customHeight="1">
      <x:c r="A22" s="12" t="n">
        <x:v>15</x:v>
      </x:c>
      <x:c r="B22" s="3" t="n">
        <x:v>13.826998732006057</x:v>
      </x:c>
      <x:c r="C22" s="3" t="n">
        <x:v>9.775012746324261</x:v>
      </x:c>
      <x:c r="D22" s="3"/>
      <x:c r="E22" s="3"/>
      <x:c r="F22" s="3"/>
      <x:c r="G22" s="3"/>
      <x:c r="H22" s="3"/>
      <x:c r="I22" s="3"/>
      <x:c r="J22" s="3" t="n">
        <x:v>1039.3967</x:v>
      </x:c>
      <x:c r="K22" s="3"/>
      <x:c r="L22" s="3"/>
    </x:row>
    <x:row r="23" ht="20" customHeight="1">
      <x:c r="A23" s="12" t="n">
        <x:v>16</x:v>
      </x:c>
      <x:c r="B23" s="3" t="n">
        <x:v>14.05386894340057</x:v>
      </x:c>
      <x:c r="C23" s="3" t="n">
        <x:v>9.849740624882763</x:v>
      </x:c>
      <x:c r="D23" s="3"/>
      <x:c r="E23" s="3"/>
      <x:c r="F23" s="3"/>
      <x:c r="G23" s="3"/>
      <x:c r="H23" s="3"/>
      <x:c r="I23" s="3"/>
      <x:c r="J23" s="3" t="n">
        <x:v>1039.1682</x:v>
      </x:c>
      <x:c r="K23" s="3"/>
      <x:c r="L23" s="3"/>
    </x:row>
    <x:row r="24" ht="20" customHeight="1">
      <x:c r="A24" s="12" t="n">
        <x:v>17</x:v>
      </x:c>
      <x:c r="B24" s="3" t="n">
        <x:v>13.86663796571107</x:v>
      </x:c>
      <x:c r="C24" s="3" t="n">
        <x:v>9.795996404379212</x:v>
      </x:c>
      <x:c r="D24" s="3"/>
      <x:c r="E24" s="3"/>
      <x:c r="F24" s="3"/>
      <x:c r="G24" s="3"/>
      <x:c r="H24" s="3"/>
      <x:c r="I24" s="3"/>
      <x:c r="J24" s="3" t="n">
        <x:v>1039.2473</x:v>
      </x:c>
      <x:c r="K24" s="3"/>
      <x:c r="L24" s="3"/>
    </x:row>
    <x:row r="25" ht="20" customHeight="1">
      <x:c r="A25" s="12" t="n">
        <x:v>18</x:v>
      </x:c>
      <x:c r="B25" s="3" t="n">
        <x:v>13.859357708121298</x:v>
      </x:c>
      <x:c r="C25" s="3" t="n">
        <x:v>9.767233702999963</x:v>
      </x:c>
      <x:c r="D25" s="3"/>
      <x:c r="E25" s="3"/>
      <x:c r="F25" s="3"/>
      <x:c r="G25" s="3"/>
      <x:c r="H25" s="3"/>
      <x:c r="I25" s="3"/>
      <x:c r="J25" s="3" t="n">
        <x:v>1038.9801</x:v>
      </x:c>
      <x:c r="K25" s="3"/>
      <x:c r="L25" s="3"/>
    </x:row>
    <x:row r="26" ht="20" customHeight="1">
      <x:c r="A26" s="12" t="n">
        <x:v>19</x:v>
      </x:c>
      <x:c r="B26" s="3" t="n">
        <x:v>13.737003938580411</x:v>
      </x:c>
      <x:c r="C26" s="3" t="n">
        <x:v>9.791518171837488</x:v>
      </x:c>
      <x:c r="D26" s="3"/>
      <x:c r="E26" s="3"/>
      <x:c r="F26" s="3"/>
      <x:c r="G26" s="3"/>
      <x:c r="H26" s="3"/>
      <x:c r="I26" s="3"/>
      <x:c r="J26" s="3" t="n">
        <x:v>1039.1448</x:v>
      </x:c>
      <x:c r="K26" s="3"/>
      <x:c r="L26" s="3"/>
    </x:row>
    <x:row r="27" ht="20" customHeight="1">
      <x:c r="A27" s="12" t="n">
        <x:v>20</x:v>
      </x:c>
      <x:c r="B27" s="3" t="n">
        <x:v>13.931370125530371</x:v>
      </x:c>
      <x:c r="C27" s="3" t="n">
        <x:v>9.775284925550555</x:v>
      </x:c>
      <x:c r="D27" s="3"/>
      <x:c r="E27" s="3"/>
      <x:c r="F27" s="3"/>
      <x:c r="G27" s="3"/>
      <x:c r="H27" s="3"/>
      <x:c r="I27" s="3"/>
      <x:c r="J27" s="3" t="n">
        <x:v>1039.4396</x:v>
      </x:c>
      <x:c r="K27" s="3"/>
      <x:c r="L27" s="3"/>
    </x:row>
    <x:row r="28" ht="2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0" customHeight="1">
      <x:c r="A30" s="3" t="str">
        <x:v>Raw spatial mean (DN)</x:v>
      </x:c>
      <x:c r="B30" s="3"/>
      <x:c r="C30" s="3"/>
      <x:c r="D30" s="6" t="n">
        <x:f>AVERAGE(B8:B27)</x:f>
        <x:v>13.847104237419222</x:v>
      </x:c>
      <x:c r="E30" s="3"/>
      <x:c r="F30" s="3"/>
      <x:c r="G30" s="3"/>
      <x:c r="H30" s="3"/>
      <x:c r="I30" s="3"/>
      <x:c r="J30" s="3"/>
      <x:c r="K30" s="3"/>
      <x:c r="L30" s="3"/>
    </x:row>
    <x:row r="31" ht="20" customHeight="1">
      <x:c r="A31" s="3" t="str">
        <x:v>Raw sample SD (DN)</x:v>
      </x:c>
      <x:c r="B31" s="3"/>
      <x:c r="C31" s="3"/>
      <x:c r="D31" s="6" t="n">
        <x:f>STDEV(B8:B27)</x:f>
        <x:v>0.09241743272655442</x:v>
      </x:c>
      <x:c r="E31" s="3"/>
      <x:c r="F31" s="3"/>
      <x:c r="G31" s="3"/>
      <x:c r="H31" s="3"/>
      <x:c r="I31" s="3"/>
      <x:c r="J31" s="3"/>
      <x:c r="K31" s="3"/>
      <x:c r="L31" s="3"/>
    </x:row>
    <x:row r="32" ht="20" customHeight="1">
      <x:c r="A32" s="3" t="str">
        <x:v>Raw nominal SEM (DN)</x:v>
      </x:c>
      <x:c r="B32" s="3"/>
      <x:c r="C32" s="3"/>
      <x:c r="D32" s="6" t="n">
        <x:f>D31/SQRT(COUNT(B8:B27))</x:f>
        <x:v>0.020665166188258942</x:v>
      </x:c>
      <x:c r="E32" s="3"/>
      <x:c r="F32" s="3"/>
      <x:c r="G32" s="3"/>
      <x:c r="H32" s="3"/>
      <x:c r="I32" s="3"/>
      <x:c r="J32" s="3"/>
      <x:c r="K32" s="3"/>
      <x:c r="L32" s="3"/>
    </x:row>
    <x:row r="33" ht="2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0" customHeight="1">
      <x:c r="A34" s="3" t="str">
        <x:v>Corrected spatial mean (DN)</x:v>
      </x:c>
      <x:c r="B34" s="3"/>
      <x:c r="C34" s="3"/>
      <x:c r="D34" s="6" t="n">
        <x:f>AVERAGE(C8:C27)</x:f>
        <x:v>9.790338650405133</x:v>
      </x:c>
      <x:c r="E34" s="3"/>
      <x:c r="F34" s="3"/>
      <x:c r="G34" s="3"/>
      <x:c r="H34" s="3"/>
      <x:c r="I34" s="3"/>
      <x:c r="J34" s="3"/>
      <x:c r="K34" s="3"/>
      <x:c r="L34" s="3"/>
    </x:row>
    <x:row r="35" ht="20" customHeight="1">
      <x:c r="A35" s="3" t="str">
        <x:v>Corrected sample SD (DN)</x:v>
      </x:c>
      <x:c r="B35" s="3"/>
      <x:c r="C35" s="3"/>
      <x:c r="D35" s="6" t="n">
        <x:f>STDEV(C8:C27)</x:f>
        <x:v>0.027454638084136618</x:v>
      </x:c>
      <x:c r="E35" s="3"/>
      <x:c r="F35" s="3"/>
      <x:c r="G35" s="3"/>
      <x:c r="H35" s="3"/>
      <x:c r="I35" s="3"/>
      <x:c r="J35" s="3"/>
      <x:c r="K35" s="3"/>
      <x:c r="L35" s="3"/>
    </x:row>
    <x:row r="36" ht="20" customHeight="1">
      <x:c r="A36" s="3" t="str">
        <x:v>Corrected nominal SEM (DN)</x:v>
      </x:c>
      <x:c r="B36" s="3"/>
      <x:c r="C36" s="3"/>
      <x:c r="D36" s="6" t="n">
        <x:f>D35/SQRT(COUNT(C8:C27))</x:f>
        <x:v>0.006139043705378406</x:v>
      </x:c>
      <x:c r="E36" s="3"/>
      <x:c r="F36" s="3"/>
      <x:c r="G36" s="3"/>
      <x:c r="H36" s="3"/>
      <x:c r="I36" s="3"/>
      <x:c r="J36" s="3"/>
      <x:c r="K36" s="3"/>
      <x:c r="L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0" customHeight="1">
      <x:c r="A38" s="3" t="str">
        <x:v>Paired full RN (DN)</x:v>
      </x:c>
      <x:c r="B38" s="3"/>
      <x:c r="C38" s="3"/>
      <x:c r="D38" s="6" t="n">
        <x:f>AVERAGE(G8:G17)</x:f>
        <x:v>10.044995240812948</x:v>
      </x:c>
      <x:c r="E38" s="3"/>
      <x:c r="F38" s="3"/>
      <x:c r="G38" s="3"/>
      <x:c r="H38" s="3"/>
      <x:c r="I38" s="3"/>
      <x:c r="J38" s="3"/>
      <x:c r="K38" s="3"/>
      <x:c r="L38" s="3"/>
    </x:row>
    <x:row r="39" ht="20" customHeight="1">
      <x:c r="A39" s="3" t="str">
        <x:v>Full RN SEM (DN)</x:v>
      </x:c>
      <x:c r="B39" s="3"/>
      <x:c r="C39" s="3"/>
      <x:c r="D39" s="6" t="n">
        <x:f>STDEV(G8:G17)/SQRT(COUNT(G8:G17))</x:f>
        <x:v>0.006655822259016899</x:v>
      </x:c>
      <x:c r="E39" s="3"/>
      <x:c r="F39" s="3"/>
      <x:c r="G39" s="3"/>
      <x:c r="H39" s="3"/>
      <x:c r="I39" s="3"/>
      <x:c r="J39" s="3"/>
      <x:c r="K39" s="3"/>
      <x:c r="L39" s="3"/>
    </x:row>
    <x:row r="40" ht="20" customHeight="1">
      <x:c r="A40" s="3" t="str">
        <x:v>Central paired RN (DN)</x:v>
      </x:c>
      <x:c r="B40" s="3"/>
      <x:c r="C40" s="3"/>
      <x:c r="D40" s="6" t="n">
        <x:f>AVERAGE(H8:H17)</x:f>
        <x:v>10.044806245556558</x:v>
      </x:c>
      <x:c r="E40" s="3"/>
      <x:c r="F40" s="3"/>
      <x:c r="G40" s="3"/>
      <x:c r="H40" s="3"/>
      <x:c r="I40" s="3"/>
      <x:c r="J40" s="3"/>
      <x:c r="K40" s="3"/>
      <x:c r="L40" s="3"/>
    </x:row>
    <x:row r="41" ht="20" customHeight="1">
      <x:c r="A41" s="3" t="str">
        <x:v>Central RN SEM (DN)</x:v>
      </x:c>
      <x:c r="B41" s="3"/>
      <x:c r="C41" s="3"/>
      <x:c r="D41" s="6" t="n">
        <x:f>STDEV(H8:H17)/SQRT(COUNT(H8:H17))</x:f>
        <x:v>0.01892141995251709</x:v>
      </x:c>
      <x:c r="E41" s="3"/>
      <x:c r="F41" s="3"/>
      <x:c r="G41" s="3"/>
      <x:c r="H41" s="3"/>
      <x:c r="I41" s="3"/>
      <x:c r="J41" s="3"/>
      <x:c r="K41" s="3"/>
      <x:c r="L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0" customHeight="1">
      <x:c r="A43" s="3" t="str">
        <x:v>Header gain (e-/DN; 1x1)</x:v>
      </x:c>
      <x:c r="B43" s="3"/>
      <x:c r="C43" s="3"/>
      <x:c r="D43" s="3" t="n">
        <x:v>1.34</x:v>
      </x:c>
      <x:c r="E43" s="3"/>
      <x:c r="F43" s="3"/>
      <x:c r="G43" s="3"/>
      <x:c r="H43" s="3"/>
      <x:c r="I43" s="3"/>
      <x:c r="J43" s="3"/>
      <x:c r="K43" s="3"/>
      <x:c r="L43" s="3"/>
    </x:row>
    <x:row r="44" ht="20" customHeight="1">
      <x:c r="A44" s="3" t="str">
        <x:v>Full RN (e-/read)</x:v>
      </x:c>
      <x:c r="B44" s="3"/>
      <x:c r="C44" s="3"/>
      <x:c r="D44" s="6" t="n">
        <x:f>D38*D43</x:f>
        <x:v>13.46029362268935</x:v>
      </x:c>
      <x:c r="E44" s="3"/>
      <x:c r="F44" s="3"/>
      <x:c r="G44" s="3"/>
      <x:c r="H44" s="3"/>
      <x:c r="I44" s="3"/>
      <x:c r="J44" s="3"/>
      <x:c r="K44" s="3"/>
      <x:c r="L44" s="3"/>
    </x:row>
    <x:row r="45" ht="20" customHeight="1">
      <x:c r="A45" s="3" t="str">
        <x:v>Shared-master corrected RN (DN)</x:v>
      </x:c>
      <x:c r="B45" s="3"/>
      <x:c r="C45" s="3"/>
      <x:c r="D45" s="6" t="n">
        <x:f>D34/SQRT(1-1/COUNT(C8:C27))</x:f>
        <x:v>10.04467551489825</x:v>
      </x:c>
      <x:c r="E45" s="3"/>
      <x:c r="F45" s="3"/>
      <x:c r="G45" s="3"/>
      <x:c r="H45" s="3"/>
      <x:c r="I45" s="3"/>
      <x:c r="J45" s="3"/>
      <x:c r="K45" s="3"/>
      <x:c r="L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0" customHeight="1">
      <x:c r="A48" s="3" t="str">
        <x:v>Central entries 8-10 have no verified pair labels. All ten enter the central mean.</x:v>
      </x:c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0" customHeight="1">
      <x:c r="A49" s="3" t="str">
        <x:v>Corrected-image SDs share a master bias; their nominal SEM is not an independent-sample error.</x:v>
      </x:c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0" customHeight="1">
      <x:c r="A50" s="3" t="str">
        <x:v>The instructor routines measure temporal noise directly from images; their saved results are 9.645 and 9.655 DN.</x:v>
      </x:c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0" customHeight="1">
      <x:c r="A52" s="3" t="str">
        <x:v>Central bias mean repeat SD (DN)</x:v>
      </x:c>
      <x:c r="B52" s="3"/>
      <x:c r="C52" s="3"/>
      <x:c r="D52" s="6" t="n">
        <x:f>STDEV(J8:J27)</x:f>
        <x:v>0.44651268488493423</x:v>
      </x:c>
      <x:c r="E52" s="3"/>
      <x:c r="F52" s="3"/>
      <x:c r="G52" s="3"/>
      <x:c r="H52" s="3"/>
      <x:c r="I52" s="3"/>
      <x:c r="J52" s="3"/>
      <x:c r="K52" s="3"/>
      <x:c r="L52" s="3"/>
    </x:row>
    <x:row r="53" ht="20" customHeight="1">
      <x:c r="A53" s="3" t="str">
        <x:v>Master-bias mean SEM (DN)</x:v>
      </x:c>
      <x:c r="B53" s="3"/>
      <x:c r="C53" s="3"/>
      <x:c r="D53" s="6" t="n">
        <x:f>D52/SQRT(COUNT(J8:J27))</x:f>
        <x:v>0.09984327162186557</x:v>
      </x:c>
      <x:c r="E53" s="3"/>
      <x:c r="F53" s="3"/>
      <x:c r="G53" s="3"/>
      <x:c r="H53" s="3"/>
      <x:c r="I53" s="3"/>
      <x:c r="J53" s="3"/>
      <x:c r="K53" s="3"/>
      <x:c r="L53" s="3"/>
    </x:row>
    <x:row r="54" ht="2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0" customHeight="1">
      <x:c r="A55" s="3" t="str">
        <x:v>Central mean inputs: bias_region_means.csv; same 100 x 100 pixel region as the dark measurements.</x:v>
      </x:c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 ht="2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 ht="2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2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 ht="2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2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2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2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0" customHeight="1">
      <x:c r="A2" s="4" t="str">
        <x:v>Exercise A: Dark signal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 ht="20" customHeight="1">
      <x:c r="A4" s="5" t="str">
        <x:v>Sources: dark_region_measurements.csv, bias_region_means.csv and the dark_time/dark_temperature CSVs.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20" customHeight="1">
      <x:c r="A6" s="3" t="str">
        <x:v>Header gain (e-/DN)</x:v>
      </x:c>
      <x:c r="B6" s="3" t="n">
        <x:v>1.34</x:v>
      </x:c>
      <x:c r="C6" s="3"/>
      <x:c r="D6" s="3" t="str">
        <x:v>Region pixels</x:v>
      </x:c>
      <x:c r="E6" s="3" t="n">
        <x:v>10000</x:v>
      </x:c>
      <x:c r="F6" s="3"/>
      <x:c r="G6" s="3" t="str">
        <x:v>Bias frames</x:v>
      </x:c>
      <x:c r="H6" s="3" t="n">
        <x:v>20</x:v>
      </x:c>
      <x:c r="I6" s="3"/>
      <x:c r="J6" s="3" t="str">
        <x:v>Bias-mean SEM (DN)</x:v>
      </x:c>
      <x:c r="K6" s="3" t="n">
        <x:f>'A Bias'!D53</x:f>
        <x:v>0.09984327162186557</x:v>
      </x:c>
      <x:c r="L6" s="3" t="str">
        <x:v>Master bias (DN)</x:v>
      </x:c>
      <x:c r="M6" s="3" t="n">
        <x:v>1038.9300537109375</x:v>
      </x:c>
      <x:c r="N6" s="3"/>
      <x:c r="O6" s="3"/>
      <x:c r="P6" s="3"/>
    </x:row>
    <x:row r="7" ht="20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 ht="34" customHeight="1">
      <x:c r="A8" s="7" t="str">
        <x:v>File</x:v>
      </x:c>
      <x:c r="B8" s="7" t="str">
        <x:v>Time (s)</x:v>
      </x:c>
      <x:c r="C8" s="7" t="str">
        <x:v>Net signal (DN)</x:v>
      </x:c>
      <x:c r="D8" s="7" t="str">
        <x:v>Charge (e-/pix)</x:v>
      </x:c>
      <x:c r="E8" s="7" t="str">
        <x:v>Rate (e-/pix/s)</x:v>
      </x:c>
      <x:c r="F8" s="7" t="str">
        <x:v>Regional Q error</x:v>
      </x:c>
      <x:c r="G8" s="7" t="str">
        <x:v>Regional I error</x:v>
      </x:c>
      <x:c r="H8" s="7" t="str">
        <x:v>Spatial rate SEM</x:v>
      </x:c>
      <x:c r="I8" s="3" t="str">
        <x:v>Raw regional mean (DN)</x:v>
      </x:c>
      <x:c r="J8" s="3" t="str">
        <x:v>Raw spatial SD (DN)</x:v>
      </x:c>
      <x:c r="K8" s="3"/>
      <x:c r="L8" s="3" t="str">
        <x:v>1 / time (1/s)</x:v>
      </x:c>
      <x:c r="M8" s="3"/>
      <x:c r="N8" s="3"/>
      <x:c r="O8" s="3"/>
      <x:c r="P8" s="3"/>
    </x:row>
    <x:row r="9" ht="20" customHeight="1">
      <x:c r="A9" s="3" t="str">
        <x:v>6.01sec.fit</x:v>
      </x:c>
      <x:c r="B9" s="3" t="n">
        <x:v>0.1</x:v>
      </x:c>
      <x:c r="C9" s="3" t="n">
        <x:f>I9-$M$6</x:f>
        <x:v>31.568446289062422</x:v>
      </x:c>
      <x:c r="D9" s="3" t="n">
        <x:f>$B$6*C9</x:f>
        <x:v>42.30171802734365</x:v>
      </x:c>
      <x:c r="E9" s="3" t="n">
        <x:f>D9/B9</x:f>
        <x:v>423.01718027343645</x:v>
      </x:c>
      <x:c r="F9" s="3" t="n">
        <x:f>$B$6*SQRT(J9^2/$E$6+$K$6^2)</x:f>
        <x:v>0.6448783408605347</x:v>
      </x:c>
      <x:c r="G9" s="3" t="n">
        <x:f>F9/B9</x:f>
        <x:v>6.4487834086053475</x:v>
      </x:c>
      <x:c r="H9" s="3" t="n">
        <x:f>$B$6*J9/SQRT($E$6)/B9</x:f>
        <x:v>6.308472990347664</x:v>
      </x:c>
      <x:c r="I9" s="3" t="n">
        <x:v>1070.4985</x:v>
      </x:c>
      <x:c r="J9" s="3" t="n">
        <x:v>47.07815664438556</x:v>
      </x:c>
      <x:c r="K9" s="3"/>
      <x:c r="L9" s="3" t="n">
        <x:f>1/B9</x:f>
        <x:v>10</x:v>
      </x:c>
      <x:c r="M9" s="3"/>
      <x:c r="N9" s="3"/>
      <x:c r="O9" s="3"/>
      <x:c r="P9" s="3"/>
    </x:row>
    <x:row r="10" ht="20" customHeight="1">
      <x:c r="A10" s="3" t="str">
        <x:v>6.6sec.fit</x:v>
      </x:c>
      <x:c r="B10" s="3" t="n">
        <x:v>6</x:v>
      </x:c>
      <x:c r="C10" s="3" t="n">
        <x:f>I10-$M$6</x:f>
        <x:v>58.07884628906254</x:v>
      </x:c>
      <x:c r="D10" s="3" t="n">
        <x:f>$B$6*C10</x:f>
        <x:v>77.8256540273438</x:v>
      </x:c>
      <x:c r="E10" s="3" t="n">
        <x:f>D10/B10</x:f>
        <x:v>12.970942337890634</x:v>
      </x:c>
      <x:c r="F10" s="3" t="n">
        <x:f>$B$6*SQRT(J10^2/$E$6+$K$6^2)</x:f>
        <x:v>4.408076602626378</x:v>
      </x:c>
      <x:c r="G10" s="3" t="n">
        <x:f>F10/B10</x:f>
        <x:v>0.7346794337710629</x:v>
      </x:c>
      <x:c r="H10" s="3" t="n">
        <x:f>$B$6*J10/SQRT($E$6)/B10</x:f>
        <x:v>0.7343409663472741</x:v>
      </x:c>
      <x:c r="I10" s="3" t="n">
        <x:v>1097.0089</x:v>
      </x:c>
      <x:c r="J10" s="3" t="n">
        <x:v>328.80938791668984</x:v>
      </x:c>
      <x:c r="K10" s="3"/>
      <x:c r="L10" s="3" t="n">
        <x:f>1/B10</x:f>
        <x:v>0.16666666666666666</x:v>
      </x:c>
      <x:c r="M10" s="3"/>
      <x:c r="N10" s="3"/>
      <x:c r="O10" s="3"/>
      <x:c r="P10" s="3"/>
    </x:row>
    <x:row r="11" ht="20" customHeight="1">
      <x:c r="A11" s="3" t="str">
        <x:v>6.10sec.fit</x:v>
      </x:c>
      <x:c r="B11" s="3" t="n">
        <x:v>10</x:v>
      </x:c>
      <x:c r="C11" s="3" t="n">
        <x:f>I11-$M$6</x:f>
        <x:v>113.5849462890626</x:v>
      </x:c>
      <x:c r="D11" s="3" t="n">
        <x:f>$B$6*C11</x:f>
        <x:v>152.2038280273439</x:v>
      </x:c>
      <x:c r="E11" s="3" t="n">
        <x:f>D11/B11</x:f>
        <x:v>15.220382802734388</x:v>
      </x:c>
      <x:c r="F11" s="3" t="n">
        <x:f>$B$6*SQRT(J11^2/$E$6+$K$6^2)</x:f>
        <x:v>6.154484281766592</x:v>
      </x:c>
      <x:c r="G11" s="3" t="n">
        <x:f>F11/B11</x:f>
        <x:v>0.6154484281766592</x:v>
      </x:c>
      <x:c r="H11" s="3" t="n">
        <x:f>$B$6*J11/SQRT($E$6)/B11</x:f>
        <x:v>0.6153029905233719</x:v>
      </x:c>
      <x:c r="I11" s="3" t="n">
        <x:v>1152.515</x:v>
      </x:c>
      <x:c r="J11" s="3" t="n">
        <x:v>459.18133621147155</x:v>
      </x:c>
      <x:c r="K11" s="3"/>
      <x:c r="L11" s="3" t="n">
        <x:f>1/B11</x:f>
        <x:v>0.1</x:v>
      </x:c>
      <x:c r="M11" s="3"/>
      <x:c r="N11" s="3"/>
      <x:c r="O11" s="3"/>
      <x:c r="P11" s="3"/>
    </x:row>
    <x:row r="12" ht="20" customHeight="1">
      <x:c r="A12" s="3" t="str">
        <x:v>6.30sec.fit</x:v>
      </x:c>
      <x:c r="B12" s="3" t="n">
        <x:v>30</x:v>
      </x:c>
      <x:c r="C12" s="3" t="n">
        <x:f>I12-$M$6</x:f>
        <x:v>279.9625462890624</x:v>
      </x:c>
      <x:c r="D12" s="3" t="n">
        <x:f>$B$6*C12</x:f>
        <x:v>375.1498120273436</x:v>
      </x:c>
      <x:c r="E12" s="3" t="n">
        <x:f>D12/B12</x:f>
        <x:v>12.504993734244787</x:v>
      </x:c>
      <x:c r="F12" s="3" t="n">
        <x:f>$B$6*SQRT(J12^2/$E$6+$K$6^2)</x:f>
        <x:v>6.3813393470976285</x:v>
      </x:c>
      <x:c r="G12" s="3" t="n">
        <x:f>F12/B12</x:f>
        <x:v>0.21271131156992096</x:v>
      </x:c>
      <x:c r="H12" s="3" t="n">
        <x:f>$B$6*J12/SQRT($E$6)/B12</x:f>
        <x:v>0.21266455616247645</x:v>
      </x:c>
      <x:c r="I12" s="3" t="n">
        <x:v>1318.8926</x:v>
      </x:c>
      <x:c r="J12" s="3" t="n">
        <x:v>476.1146779756936</x:v>
      </x:c>
      <x:c r="K12" s="3"/>
      <x:c r="L12" s="3" t="n">
        <x:f>1/B12</x:f>
        <x:v>0.03333333333333333</x:v>
      </x:c>
      <x:c r="M12" s="3"/>
      <x:c r="N12" s="3"/>
      <x:c r="O12" s="3"/>
      <x:c r="P12" s="3"/>
    </x:row>
    <x:row r="13" ht="20" customHeight="1">
      <x:c r="A13" s="3" t="str">
        <x:v>6.45sec.fit</x:v>
      </x:c>
      <x:c r="B13" s="3" t="n">
        <x:v>45</x:v>
      </x:c>
      <x:c r="C13" s="3" t="n">
        <x:f>I13-$M$6</x:f>
        <x:v>452.5485462890624</x:v>
      </x:c>
      <x:c r="D13" s="3" t="n">
        <x:f>$B$6*C13</x:f>
        <x:v>606.4150520273437</x:v>
      </x:c>
      <x:c r="E13" s="3" t="n">
        <x:f>D13/B13</x:f>
        <x:v>13.47589004505208</x:v>
      </x:c>
      <x:c r="F13" s="3" t="n">
        <x:f>$B$6*SQRT(J13^2/$E$6+$K$6^2)</x:f>
        <x:v>6.708355786048584</x:v>
      </x:c>
      <x:c r="G13" s="3" t="n">
        <x:f>F13/B13</x:f>
        <x:v>0.14907457302330185</x:v>
      </x:c>
      <x:c r="H13" s="3" t="n">
        <x:f>$B$6*J13/SQRT($E$6)/B13</x:f>
        <x:v>0.14904492253853696</x:v>
      </x:c>
      <x:c r="I13" s="3" t="n">
        <x:v>1491.4786</x:v>
      </x:c>
      <x:c r="J13" s="3" t="n">
        <x:v>500.52399359956445</x:v>
      </x:c>
      <x:c r="K13" s="3"/>
      <x:c r="L13" s="3" t="n">
        <x:f>1/B13</x:f>
        <x:v>0.022222222222222223</x:v>
      </x:c>
      <x:c r="M13" s="3"/>
      <x:c r="N13" s="3"/>
      <x:c r="O13" s="3"/>
      <x:c r="P13" s="3"/>
    </x:row>
    <x:row r="14" ht="20" customHeight="1">
      <x:c r="A14" s="3" t="str">
        <x:v>6.60sec.fit</x:v>
      </x:c>
      <x:c r="B14" s="3" t="n">
        <x:v>60</x:v>
      </x:c>
      <x:c r="C14" s="3" t="n">
        <x:f>I14-$M$6</x:f>
        <x:v>654.9130462890625</x:v>
      </x:c>
      <x:c r="D14" s="3" t="n">
        <x:f>$B$6*C14</x:f>
        <x:v>877.5834820273438</x:v>
      </x:c>
      <x:c r="E14" s="3" t="n">
        <x:f>D14/B14</x:f>
        <x:v>14.626391367122398</x:v>
      </x:c>
      <x:c r="F14" s="3" t="n">
        <x:f>$B$6*SQRT(J14^2/$E$6+$K$6^2)</x:f>
        <x:v>7.166649367784757</x:v>
      </x:c>
      <x:c r="G14" s="3" t="n">
        <x:f>F14/B14</x:f>
        <x:v>0.11944415612974595</x:v>
      </x:c>
      <x:c r="H14" s="3" t="n">
        <x:f>$B$6*J14/SQRT($E$6)/B14</x:f>
        <x:v>0.11942334059154396</x:v>
      </x:c>
      <x:c r="I14" s="3" t="n">
        <x:v>1693.8431</x:v>
      </x:c>
      <x:c r="J14" s="3" t="n">
        <x:v>534.7313757830326</x:v>
      </x:c>
      <x:c r="K14" s="3"/>
      <x:c r="L14" s="3" t="n">
        <x:f>1/B14</x:f>
        <x:v>0.016666666666666666</x:v>
      </x:c>
      <x:c r="M14" s="3"/>
      <x:c r="N14" s="3"/>
      <x:c r="O14" s="3"/>
      <x:c r="P14" s="3"/>
    </x:row>
    <x:row r="15" ht="2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 ht="20" customHeight="1">
      <x:c r="A17" s="3" t="str">
        <x:v>Mean rate, 6-60 s</x:v>
      </x:c>
      <x:c r="B17" s="3"/>
      <x:c r="C17" s="3"/>
      <x:c r="D17" s="6" t="n">
        <x:f>AVERAGE(E10:E14)</x:f>
        <x:v>13.75972005740886</x:v>
      </x:c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 ht="20" customHeight="1">
      <x:c r="A18" s="3" t="str">
        <x:v>Sample SD</x:v>
      </x:c>
      <x:c r="B18" s="3"/>
      <x:c r="C18" s="3"/>
      <x:c r="D18" s="6" t="n">
        <x:f>STDEV(E10:E14)</x:f>
        <x:v>1.135971250453345</x:v>
      </x:c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 ht="20" customHeight="1">
      <x:c r="A19" s="3" t="str">
        <x:v>SEM</x:v>
      </x:c>
      <x:c r="B19" s="3"/>
      <x:c r="C19" s="3"/>
      <x:c r="D19" s="6" t="n">
        <x:f>D18/SQRT(COUNT(E10:E14))</x:f>
        <x:v>0.5080217872998236</x:v>
      </x:c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 ht="20" customHeight="1">
      <x:c r="A20" s="3" t="str">
        <x:v>Charge slope (e-/pix/s)</x:v>
      </x:c>
      <x:c r="B20" s="3"/>
      <x:c r="C20" s="3"/>
      <x:c r="D20" s="6" t="n">
        <x:f>SLOPE(D9:D14,B9:B14)</x:f>
        <x:v>13.836237759548524</x:v>
      </x:c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 ht="20" customHeight="1">
      <x:c r="A21" s="3" t="str">
        <x:v>Slope SE</x:v>
      </x:c>
      <x:c r="B21" s="3"/>
      <x:c r="C21" s="3"/>
      <x:c r="D21" s="6" t="n">
        <x:f>STEYX(D9:D14,B9:B14)/SQRT(DEVSQ(B9:B14))</x:f>
        <x:v>0.7076647728667655</x:v>
      </x:c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 ht="20" customHeight="1">
      <x:c r="A22" s="3" t="str">
        <x:v>Intercept (e-/pix)</x:v>
      </x:c>
      <x:c r="B22" s="3"/>
      <x:c r="C22" s="3"/>
      <x:c r="D22" s="6" t="n">
        <x:f>INTERCEPT(D9:D14,B9:B14)</x:f>
        <x:v>6.8040034493801045</x:v>
      </x:c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 ht="20" customHeight="1">
      <x:c r="A23" s="3" t="str">
        <x:v>Intercept SE</x:v>
      </x:c>
      <x:c r="B23" s="3"/>
      <x:c r="C23" s="3"/>
      <x:c r="D23" s="6" t="n">
        <x:f>STEYX(D9:D14,B9:B14)*SQRT(1/COUNT(B9:B14)+AVERAGE(B9:B14)^2/DEVSQ(B9:B14))</x:f>
        <x:v>23.578816079141273</x:v>
      </x:c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 ht="20" customHeight="1">
      <x:c r="A24" s="3" t="str">
        <x:v>Propagated mean-rate error</x:v>
      </x:c>
      <x:c r="B24" s="3"/>
      <x:c r="C24" s="3"/>
      <x:c r="D24" s="6" t="n">
        <x:f>SQRT(SUMSQ(H10:H14)/COUNT(H10:H14)^2+D25^2)</x:f>
        <x:v>0.2001612022079121</x:v>
      </x:c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 ht="20" customHeight="1">
      <x:c r="A25" s="3" t="str">
        <x:v>Shared-bias contribution</x:v>
      </x:c>
      <x:c r="B25" s="3"/>
      <x:c r="C25" s="3"/>
      <x:c r="D25" s="6" t="n">
        <x:f>B6*K6*AVERAGE(L10:L14)</x:f>
        <x:v>0.009067987802634767</x:v>
      </x:c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 ht="2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 ht="34" customHeight="1">
      <x:c r="A27" s="7" t="str">
        <x:v>File</x:v>
      </x:c>
      <x:c r="B27" s="7" t="str">
        <x:v>Time (s)</x:v>
      </x:c>
      <x:c r="C27" s="7" t="str">
        <x:v>T start (C)</x:v>
      </x:c>
      <x:c r="D27" s="7" t="str">
        <x:v>Net signal (DN)</x:v>
      </x:c>
      <x:c r="E27" s="7" t="str">
        <x:v>Charge (e-/pix)</x:v>
      </x:c>
      <x:c r="F27" s="7" t="str">
        <x:v>Rate (e-/pix/s)</x:v>
      </x:c>
      <x:c r="G27" s="7" t="str">
        <x:v>Regional Q error</x:v>
      </x:c>
      <x:c r="H27" s="7" t="str">
        <x:v>Regional I error</x:v>
      </x:c>
      <x:c r="I27" s="7" t="str">
        <x:v>T (K)</x:v>
      </x:c>
      <x:c r="J27" s="7" t="str">
        <x:v>1/T (1/K)</x:v>
      </x:c>
      <x:c r="K27" s="7" t="str">
        <x:v>ln(I/Iref)</x:v>
      </x:c>
      <x:c r="L27" s="7" t="str">
        <x:v>Raw regional mean (DN)</x:v>
      </x:c>
      <x:c r="M27" s="7" t="str">
        <x:v>Raw spatial SD DN</x:v>
      </x:c>
      <x:c r="N27" s="7" t="str">
        <x:v>Approx sigma lnI</x:v>
      </x:c>
      <x:c r="O27" s="7" t="str">
        <x:v>Lower lnI error</x:v>
      </x:c>
      <x:c r="P27" s="7" t="str">
        <x:v>Upper lnI error</x:v>
      </x:c>
    </x:row>
    <x:row r="28" ht="20" customHeight="1">
      <x:c r="A28" s="3" t="str">
        <x:v>-10C.fit</x:v>
      </x:c>
      <x:c r="B28" s="3" t="n">
        <x:v>300</x:v>
      </x:c>
      <x:c r="C28" s="3" t="n">
        <x:v>-7.84375</x:v>
      </x:c>
      <x:c r="D28" s="3" t="n">
        <x:f>L28-$M$6</x:f>
        <x:v>9.504146289062419</x:v>
      </x:c>
      <x:c r="E28" s="3" t="n">
        <x:f>$B$6*D28</x:f>
        <x:v>12.735556027343643</x:v>
      </x:c>
      <x:c r="F28" s="26" t="n">
        <x:f>E28/B28</x:f>
        <x:v>0.04245185342447881</x:v>
      </x:c>
      <x:c r="G28" s="3" t="n">
        <x:f>$B$6*SQRT(M28^2/$E$6+$K$6^2)</x:f>
        <x:v>6.161749522966007</x:v>
      </x:c>
      <x:c r="H28" s="8" t="n">
        <x:f>G28/B28</x:f>
        <x:v>0.020539165076553356</x:v>
      </x:c>
      <x:c r="I28" s="3" t="n">
        <x:f>C28+273.15</x:f>
        <x:v>265.30625</x:v>
      </x:c>
      <x:c r="J28" s="8" t="n">
        <x:f>1/I28</x:f>
        <x:v>0.003769228957101463</x:v>
      </x:c>
      <x:c r="K28" s="3" t="n">
        <x:f>LN(F28)</x:f>
        <x:v>-3.159384705823874</x:v>
      </x:c>
      <x:c r="L28" s="3" t="n">
        <x:v>1048.4342</x:v>
      </x:c>
      <x:c r="M28" s="3" t="n">
        <x:v>459.7236463936408</x:v>
      </x:c>
      <x:c r="N28" s="3" t="n">
        <x:f>H28/F28</x:f>
        <x:v>0.48382257592338607</x:v>
      </x:c>
      <x:c r="O28" s="3" t="n">
        <x:f>LN(F28/(F28-H28))</x:f>
        <x:v>0.6613047274920397</x:v>
      </x:c>
      <x:c r="P28" s="3" t="n">
        <x:f>LN((F28+H28)/F28)</x:f>
        <x:v>0.3946215795944518</x:v>
      </x:c>
    </x:row>
    <x:row r="29" ht="20" customHeight="1">
      <x:c r="A29" s="3" t="str">
        <x:v>0C.fit</x:v>
      </x:c>
      <x:c r="B29" s="3" t="n">
        <x:v>300</x:v>
      </x:c>
      <x:c r="C29" s="3" t="n">
        <x:v>0.84375</x:v>
      </x:c>
      <x:c r="D29" s="3" t="n">
        <x:f>L29-$M$6</x:f>
        <x:v>53.933546289062406</x:v>
      </x:c>
      <x:c r="E29" s="3" t="n">
        <x:f>$B$6*D29</x:f>
        <x:v>72.27095202734363</x:v>
      </x:c>
      <x:c r="F29" s="26" t="n">
        <x:f>E29/B29</x:f>
        <x:v>0.24090317342447876</x:v>
      </x:c>
      <x:c r="G29" s="3" t="n">
        <x:f>$B$6*SQRT(M29^2/$E$6+$K$6^2)</x:f>
        <x:v>6.344238930524112</x:v>
      </x:c>
      <x:c r="H29" s="8" t="n">
        <x:f>G29/B29</x:f>
        <x:v>0.02114746310174704</x:v>
      </x:c>
      <x:c r="I29" s="3" t="n">
        <x:f>C29+273.15</x:f>
        <x:v>273.99375</x:v>
      </x:c>
      <x:c r="J29" s="8" t="n">
        <x:f>1/I29</x:f>
        <x:v>0.003649718287369694</x:v>
      </x:c>
      <x:c r="K29" s="3" t="n">
        <x:f>LN(F29)</x:f>
        <x:v>-1.4233601962455917</x:v>
      </x:c>
      <x:c r="L29" s="3" t="n">
        <x:v>1092.8636</x:v>
      </x:c>
      <x:c r="M29" s="3" t="n">
        <x:v>473.345377900448</x:v>
      </x:c>
      <x:c r="N29" s="3" t="n">
        <x:f>H29/F29</x:f>
        <x:v>0.08778407856207258</x:v>
      </x:c>
      <x:c r="O29" s="3" t="n">
        <x:f>LN(F29/(F29-H29))</x:f>
        <x:v>0.0918785609674359</x:v>
      </x:c>
      <x:c r="P29" s="3" t="n">
        <x:f>LN((F29+H29)/F29)</x:f>
        <x:v>0.08414267153453667</x:v>
      </x:c>
    </x:row>
    <x:row r="30" ht="20" customHeight="1">
      <x:c r="A30" s="3" t="str">
        <x:v>10C.fit</x:v>
      </x:c>
      <x:c r="B30" s="3" t="n">
        <x:v>300</x:v>
      </x:c>
      <x:c r="C30" s="3" t="n">
        <x:v>18.75</x:v>
      </x:c>
      <x:c r="D30" s="3" t="n">
        <x:f>L30-$M$6</x:f>
        <x:v>299.8257462890624</x:v>
      </x:c>
      <x:c r="E30" s="3" t="n">
        <x:f>$B$6*D30</x:f>
        <x:v>401.7665000273436</x:v>
      </x:c>
      <x:c r="F30" s="26" t="n">
        <x:f>E30/B30</x:f>
        <x:v>1.339221666757812</x:v>
      </x:c>
      <x:c r="G30" s="3" t="n">
        <x:f>$B$6*SQRT(M30^2/$E$6+$K$6^2)</x:f>
        <x:v>7.2583759431184305</x:v>
      </x:c>
      <x:c r="H30" s="8" t="n">
        <x:f>G30/B30</x:f>
        <x:v>0.024194586477061436</x:v>
      </x:c>
      <x:c r="I30" s="3" t="n">
        <x:f>C30+273.15</x:f>
        <x:v>291.9</x:v>
      </x:c>
      <x:c r="J30" s="8" t="n">
        <x:f>1/I30</x:f>
        <x:v>0.0034258307639602604</x:v>
      </x:c>
      <x:c r="K30" s="3" t="n">
        <x:f>LN(F30)</x:f>
        <x:v>0.29208859950347854</x:v>
      </x:c>
      <x:c r="L30" s="3" t="n">
        <x:v>1338.7558</x:v>
      </x:c>
      <x:c r="M30" s="3" t="n">
        <x:v>541.5778206499432</x:v>
      </x:c>
      <x:c r="N30" s="3" t="n">
        <x:f>H30/F30</x:f>
        <x:v>0.018066155198664988</x:v>
      </x:c>
      <x:c r="O30" s="3" t="n">
        <x:f>LN(F30/(F30-H30))</x:f>
        <x:v>0.018231340716399053</x:v>
      </x:c>
      <x:c r="P30" s="3" t="n">
        <x:f>LN((F30+H30)/F30)</x:f>
        <x:v>0.017904901477245584</x:v>
      </x:c>
    </x:row>
    <x:row r="31" ht="20" customHeight="1">
      <x:c r="A31" s="3" t="str">
        <x:v>20C.fit</x:v>
      </x:c>
      <x:c r="B31" s="3" t="n">
        <x:v>300</x:v>
      </x:c>
      <x:c r="C31" s="3" t="n">
        <x:v>20.21875</x:v>
      </x:c>
      <x:c r="D31" s="3" t="n">
        <x:f>L31-$M$6</x:f>
        <x:v>883.3604462890626</x:v>
      </x:c>
      <x:c r="E31" s="3" t="n">
        <x:f>$B$6*D31</x:f>
        <x:v>1183.702998027344</x:v>
      </x:c>
      <x:c r="F31" s="26" t="n">
        <x:f>E31/B31</x:f>
        <x:v>3.9456766600911464</x:v>
      </x:c>
      <x:c r="G31" s="3" t="n">
        <x:f>$B$6*SQRT(M31^2/$E$6+$K$6^2)</x:f>
        <x:v>9.780131800815079</x:v>
      </x:c>
      <x:c r="H31" s="8" t="n">
        <x:f>G31/B31</x:f>
        <x:v>0.032600439336050266</x:v>
      </x:c>
      <x:c r="I31" s="3" t="n">
        <x:f>C31+273.15</x:f>
        <x:v>293.36875</x:v>
      </x:c>
      <x:c r="J31" s="8" t="n">
        <x:f>1/I31</x:f>
        <x:v>0.0034086793497944143</x:v>
      </x:c>
      <x:c r="K31" s="3" t="n">
        <x:f>LN(F31)</x:f>
        <x:v>1.372620463059875</x:v>
      </x:c>
      <x:c r="L31" s="3" t="n">
        <x:v>1922.2905</x:v>
      </x:c>
      <x:c r="M31" s="3" t="n">
        <x:v>729.7922872900266</x:v>
      </x:c>
      <x:c r="N31" s="3" t="n">
        <x:f>H31/F31</x:f>
        <x:v>0.008262319025223213</x:v>
      </x:c>
      <x:c r="O31" s="3" t="n">
        <x:f>LN(F31/(F31-H31))</x:f>
        <x:v>0.00829664116746477</x:v>
      </x:c>
      <x:c r="P31" s="3" t="n">
        <x:f>LN((F31+H31)/F31)</x:f>
        <x:v>0.00822837292156653</x:v>
      </x:c>
    </x:row>
    <x:row r="32" ht="2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 ht="2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 ht="20" customHeight="1">
      <x:c r="A34" s="3" t="str">
        <x:v>k (eV/K)</x:v>
      </x:c>
      <x:c r="B34" s="3"/>
      <x:c r="C34" s="3"/>
      <x:c r="D34" s="9" t="n">
        <x:v>0.00008617333</x:v>
      </x:c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 ht="20" customHeight="1">
      <x:c r="A35" s="3" t="str">
        <x:v>Thermal slope (K)</x:v>
      </x:c>
      <x:c r="B35" s="3"/>
      <x:c r="C35" s="3"/>
      <x:c r="D35" s="6" t="n">
        <x:f>SLOPE(K28:K31,J28:J31)</x:f>
        <x:v>-11068.322455103955</x:v>
      </x:c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 ht="20" customHeight="1">
      <x:c r="A36" s="3" t="str">
        <x:v>Thermal slope SE</x:v>
      </x:c>
      <x:c r="B36" s="3"/>
      <x:c r="C36" s="3"/>
      <x:c r="D36" s="6" t="n">
        <x:f>STEYX(K28:K31,J28:J31)/SQRT(DEVSQ(J28:J31))</x:f>
        <x:v>1632.993508567487</x:v>
      </x:c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 ht="20" customHeight="1">
      <x:c r="A37" s="3" t="str">
        <x:v>Apparent activation energy (eV)</x:v>
      </x:c>
      <x:c r="B37" s="3"/>
      <x:c r="C37" s="3"/>
      <x:c r="D37" s="6" t="n">
        <x:f>-D34*D35</x:f>
        <x:v>0.9537942034700833</x:v>
      </x:c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 ht="20" customHeight="1">
      <x:c r="A38" s="3" t="str">
        <x:v>Activation energy SE (eV)</x:v>
      </x:c>
      <x:c r="B38" s="3"/>
      <x:c r="C38" s="3"/>
      <x:c r="D38" s="6" t="n">
        <x:f>D34*D36</x:f>
        <x:v>0.14072048850164387</x:v>
      </x:c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 ht="20" customHeight="1">
      <x:c r="A41" s="3" t="str">
        <x:v>Errors propagate spatial SEMs and repeat scatter of bias means. Spatial structure is not repeated-dark temporal noise.</x:v>
      </x:c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 ht="20" customHeight="1">
      <x:c r="A42" s="3" t="str">
        <x:v>All six points enter the time fit. Mean rate uses 6-60 s; invalid -20 C and -25 C exposures are excluded.</x:v>
      </x:c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 ht="20" customHeight="1">
      <x:c r="A43" s="3" t="str">
        <x:v>Pixel/frame independence is assumed; correlations, bias mismatch, gain/timing errors and temperature drift are excluded.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 ht="2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 ht="2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 ht="2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 ht="2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2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2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2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 ht="2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2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 ht="2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 ht="20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20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20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 ht="20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 ht="20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 ht="2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 ht="2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 ht="20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 ht="20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</x:sheetData>
  <x:pageMargins left="0.7" right="0.7" top="0.75" bottom="0.75" header="0.3" footer="0.3"/>
  <x:drawing xmlns:r="http://schemas.openxmlformats.org/officeDocument/2006/relationships" r:id="R44104ad76db34859"/>
</x:worksheet>
</file>

<file path=xl/worksheets/sheet3.xml><?xml version="1.0" encoding="utf-8"?>
<x:worksheet xmlns:x="http://schemas.openxmlformats.org/spreadsheetml/2006/main">
  <x:sheetViews>
    <x:sheetView showGridLines="1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0" customHeight="1">
      <x:c r="A2" s="4" t="str">
        <x:v>Exercise B: Paired-flat gain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0" customHeight="1">
      <x:c r="A4" s="5" t="str">
        <x:v>Sources: original 10-s Excel measurements and dome_0p2s_gain_pairs_1792460302773.csv.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4" customHeight="1">
      <x:c r="A7" s="7" t="str">
        <x:v>Exposure (s)</x:v>
      </x:c>
      <x:c r="B7" s="7" t="str">
        <x:v>Pair</x:v>
      </x:c>
      <x:c r="C7" s="7" t="str">
        <x:v>F1 mean (DN)</x:v>
      </x:c>
      <x:c r="D7" s="7" t="str">
        <x:v>F2 mean (DN)</x:v>
      </x:c>
      <x:c r="E7" s="7" t="str">
        <x:v>Difference SD (DN)</x:v>
      </x:c>
      <x:c r="F7" s="7" t="str">
        <x:v>Signal S (DN)</x:v>
      </x:c>
      <x:c r="G7" s="7" t="str">
        <x:v>Variance V (DN2)</x:v>
      </x:c>
      <x:c r="H7" s="7" t="str">
        <x:v>Photon-only g (e-/DN)</x:v>
      </x:c>
      <x:c r="I7" s="3"/>
      <x:c r="J7" s="3"/>
      <x:c r="K7" s="3"/>
      <x:c r="L7" s="3"/>
    </x:row>
    <x:row r="8" ht="20" customHeight="1">
      <x:c r="A8" s="3" t="n">
        <x:v>0.2</x:v>
      </x:c>
      <x:c r="B8" s="3" t="str">
        <x:v>1-2</x:v>
      </x:c>
      <x:c r="C8" s="3" t="n">
        <x:v>559.6255</x:v>
      </x:c>
      <x:c r="D8" s="3" t="n">
        <x:v>565.4219</x:v>
      </x:c>
      <x:c r="E8" s="3" t="n">
        <x:v>36.691320123</x:v>
      </x:c>
      <x:c r="F8" s="3" t="n">
        <x:f>(C8+D8)/2</x:f>
        <x:v>562.5237</x:v>
      </x:c>
      <x:c r="G8" s="3" t="n">
        <x:f>E8^2/2</x:f>
        <x:v>673.1264861842322</x:v>
      </x:c>
      <x:c r="H8" s="3" t="n">
        <x:f>(C8+D8)/E8^2</x:f>
        <x:v>0.835687959908978</x:v>
      </x:c>
      <x:c r="I8" s="3"/>
      <x:c r="J8" s="3"/>
      <x:c r="K8" s="3"/>
      <x:c r="L8" s="3"/>
    </x:row>
    <x:row r="9" ht="20" customHeight="1">
      <x:c r="A9" s="3" t="n">
        <x:v>0.2</x:v>
      </x:c>
      <x:c r="B9" s="3" t="str">
        <x:v>3-4</x:v>
      </x:c>
      <x:c r="C9" s="3" t="n">
        <x:v>569.6126</x:v>
      </x:c>
      <x:c r="D9" s="3" t="n">
        <x:v>574.95</x:v>
      </x:c>
      <x:c r="E9" s="3" t="n">
        <x:v>37.734855945</x:v>
      </x:c>
      <x:c r="F9" s="3" t="n">
        <x:f>(C9+D9)/2</x:f>
        <x:v>572.2813000000001</x:v>
      </x:c>
      <x:c r="G9" s="3" t="n">
        <x:f>E9^2/2</x:f>
        <x:v>711.9596765949509</x:v>
      </x:c>
      <x:c r="H9" s="3" t="n">
        <x:f>(C9+D9)/E9^2</x:f>
        <x:v>0.8038113938376642</x:v>
      </x:c>
      <x:c r="I9" s="3"/>
      <x:c r="J9" s="3"/>
      <x:c r="K9" s="3"/>
      <x:c r="L9" s="3"/>
    </x:row>
    <x:row r="10" ht="20" customHeight="1">
      <x:c r="A10" s="3" t="n">
        <x:v>0.2</x:v>
      </x:c>
      <x:c r="B10" s="3" t="str">
        <x:v>5-6</x:v>
      </x:c>
      <x:c r="C10" s="3" t="n">
        <x:v>577.4678</x:v>
      </x:c>
      <x:c r="D10" s="3" t="n">
        <x:v>580.3722</x:v>
      </x:c>
      <x:c r="E10" s="3" t="n">
        <x:v>37.210032509</x:v>
      </x:c>
      <x:c r="F10" s="3" t="n">
        <x:f>(C10+D10)/2</x:f>
        <x:v>578.9200000000001</x:v>
      </x:c>
      <x:c r="G10" s="3" t="n">
        <x:f>E10^2/2</x:f>
        <x:v>692.2932596604185</x:v>
      </x:c>
      <x:c r="H10" s="3" t="n">
        <x:f>(C10+D10)/E10^2</x:f>
        <x:v>0.8362352109046535</x:v>
      </x:c>
      <x:c r="I10" s="3"/>
      <x:c r="J10" s="3"/>
      <x:c r="K10" s="3"/>
      <x:c r="L10" s="3"/>
    </x:row>
    <x:row r="11" ht="20" customHeight="1">
      <x:c r="A11" s="3" t="n">
        <x:v>0.2</x:v>
      </x:c>
      <x:c r="B11" s="3" t="str">
        <x:v>7-8</x:v>
      </x:c>
      <x:c r="C11" s="3" t="n">
        <x:v>581.56</x:v>
      </x:c>
      <x:c r="D11" s="3" t="n">
        <x:v>584.1856</x:v>
      </x:c>
      <x:c r="E11" s="3" t="n">
        <x:v>36.944283897</x:v>
      </x:c>
      <x:c r="F11" s="3" t="n">
        <x:f>(C11+D11)/2</x:f>
        <x:v>582.8728</x:v>
      </x:c>
      <x:c r="G11" s="3" t="n">
        <x:f>E11^2/2</x:f>
        <x:v>682.4400563310667</x:v>
      </x:c>
      <x:c r="H11" s="3" t="n">
        <x:f>(C11+D11)/E11^2</x:f>
        <x:v>0.8541010959023126</x:v>
      </x:c>
      <x:c r="I11" s="3"/>
      <x:c r="J11" s="3"/>
      <x:c r="K11" s="3"/>
      <x:c r="L11" s="3"/>
    </x:row>
    <x:row r="12" ht="20" customHeight="1">
      <x:c r="A12" s="3" t="n">
        <x:v>0.2</x:v>
      </x:c>
      <x:c r="B12" s="3" t="str">
        <x:v>9-10</x:v>
      </x:c>
      <x:c r="C12" s="3" t="n">
        <x:v>584.9387</x:v>
      </x:c>
      <x:c r="D12" s="3" t="n">
        <x:v>586.2847</x:v>
      </x:c>
      <x:c r="E12" s="3" t="n">
        <x:v>38.035367133</x:v>
      </x:c>
      <x:c r="F12" s="3" t="n">
        <x:f>(C12+D12)/2</x:f>
        <x:v>585.6117</x:v>
      </x:c>
      <x:c r="G12" s="3" t="n">
        <x:f>E12^2/2</x:f>
        <x:v>723.3445764710484</x:v>
      </x:c>
      <x:c r="H12" s="3" t="n">
        <x:f>(C12+D12)/E12^2</x:f>
        <x:v>0.809588844720451</x:v>
      </x:c>
      <x:c r="I12" s="3"/>
      <x:c r="J12" s="3"/>
      <x:c r="K12" s="3"/>
      <x:c r="L12" s="3"/>
    </x:row>
    <x:row r="13" ht="20" customHeight="1">
      <x:c r="A13" s="3" t="n">
        <x:v>0.2</x:v>
      </x:c>
      <x:c r="B13" s="3" t="str">
        <x:v>11-12</x:v>
      </x:c>
      <x:c r="C13" s="3" t="n">
        <x:v>587.8312</x:v>
      </x:c>
      <x:c r="D13" s="3" t="n">
        <x:v>588.2955</x:v>
      </x:c>
      <x:c r="E13" s="3" t="n">
        <x:v>37.544398833</x:v>
      </x:c>
      <x:c r="F13" s="3" t="n">
        <x:f>(C13+D13)/2</x:f>
        <x:v>588.0633499999999</x:v>
      </x:c>
      <x:c r="G13" s="3" t="n">
        <x:f>E13^2/2</x:f>
        <x:v>704.790941865686</x:v>
      </x:c>
      <x:c r="H13" s="3" t="n">
        <x:f>(C13+D13)/E13^2</x:f>
        <x:v>0.8343798353073454</x:v>
      </x:c>
      <x:c r="I13" s="3"/>
      <x:c r="J13" s="3"/>
      <x:c r="K13" s="3"/>
      <x:c r="L13" s="3"/>
    </x:row>
    <x:row r="14" ht="20" customHeight="1">
      <x:c r="A14" s="3" t="n">
        <x:v>0.2</x:v>
      </x:c>
      <x:c r="B14" s="3" t="str">
        <x:v>13-14</x:v>
      </x:c>
      <x:c r="C14" s="3" t="n">
        <x:v>588.3651</x:v>
      </x:c>
      <x:c r="D14" s="3" t="n">
        <x:v>589.2536</x:v>
      </x:c>
      <x:c r="E14" s="3" t="n">
        <x:v>37.78578892</x:v>
      </x:c>
      <x:c r="F14" s="3" t="n">
        <x:f>(C14+D14)/2</x:f>
        <x:v>588.80935</x:v>
      </x:c>
      <x:c r="G14" s="3" t="n">
        <x:f>E14^2/2</x:f>
        <x:v>713.8829221533974</x:v>
      </x:c>
      <x:c r="H14" s="3" t="n">
        <x:f>(C14+D14)/E14^2</x:f>
        <x:v>0.8247982011166224</x:v>
      </x:c>
      <x:c r="I14" s="3"/>
      <x:c r="J14" s="3"/>
      <x:c r="K14" s="3"/>
      <x:c r="L14" s="3"/>
    </x:row>
    <x:row r="15" ht="20" customHeight="1">
      <x:c r="A15" s="3" t="n">
        <x:v>0.2</x:v>
      </x:c>
      <x:c r="B15" s="3" t="str">
        <x:v>15-16</x:v>
      </x:c>
      <x:c r="C15" s="3" t="n">
        <x:v>590.4025</x:v>
      </x:c>
      <x:c r="D15" s="3" t="n">
        <x:v>590.2916</x:v>
      </x:c>
      <x:c r="E15" s="3" t="n">
        <x:v>37.695483763</x:v>
      </x:c>
      <x:c r="F15" s="3" t="n">
        <x:f>(C15+D15)/2</x:f>
        <x:v>590.3470500000001</x:v>
      </x:c>
      <x:c r="G15" s="3" t="n">
        <x:f>E15^2/2</x:f>
        <x:v>710.4747480632983</x:v>
      </x:c>
      <x:c r="H15" s="3" t="n">
        <x:f>(C15+D15)/E15^2</x:f>
        <x:v>0.8309191165614859</x:v>
      </x:c>
      <x:c r="I15" s="3"/>
      <x:c r="J15" s="3"/>
      <x:c r="K15" s="3"/>
      <x:c r="L15" s="3"/>
    </x:row>
    <x:row r="16" ht="20" customHeight="1">
      <x:c r="A16" s="3" t="n">
        <x:v>0.2</x:v>
      </x:c>
      <x:c r="B16" s="3" t="str">
        <x:v>17-18</x:v>
      </x:c>
      <x:c r="C16" s="3" t="n">
        <x:v>591.042</x:v>
      </x:c>
      <x:c r="D16" s="3" t="n">
        <x:v>591.6615</x:v>
      </x:c>
      <x:c r="E16" s="3" t="n">
        <x:v>37.790540248</x:v>
      </x:c>
      <x:c r="F16" s="3" t="n">
        <x:f>(C16+D16)/2</x:f>
        <x:v>591.35175</x:v>
      </x:c>
      <x:c r="G16" s="3" t="n">
        <x:f>E16^2/2</x:f>
        <x:v>714.0624661178539</x:v>
      </x:c>
      <x:c r="H16" s="3" t="n">
        <x:f>(C16+D16)/E16^2</x:f>
        <x:v>0.8281512865604103</x:v>
      </x:c>
      <x:c r="I16" s="3"/>
      <x:c r="J16" s="3"/>
      <x:c r="K16" s="3"/>
      <x:c r="L16" s="3"/>
    </x:row>
    <x:row r="17" ht="20" customHeight="1">
      <x:c r="A17" s="3" t="n">
        <x:v>0.2</x:v>
      </x:c>
      <x:c r="B17" s="3" t="str">
        <x:v>19-20</x:v>
      </x:c>
      <x:c r="C17" s="3" t="n">
        <x:v>592.0663</x:v>
      </x:c>
      <x:c r="D17" s="3" t="n">
        <x:v>591.914</x:v>
      </x:c>
      <x:c r="E17" s="3" t="n">
        <x:v>37.603360302</x:v>
      </x:c>
      <x:c r="F17" s="3" t="n">
        <x:f>(C17+D17)/2</x:f>
        <x:v>591.99015</x:v>
      </x:c>
      <x:c r="G17" s="3" t="n">
        <x:f>E17^2/2</x:f>
        <x:v>707.0063530010148</x:v>
      </x:c>
      <x:c r="H17" s="3" t="n">
        <x:f>(C17+D17)/E17^2</x:f>
        <x:v>0.8373194208046251</x:v>
      </x:c>
      <x:c r="I17" s="3"/>
      <x:c r="J17" s="3"/>
      <x:c r="K17" s="3"/>
      <x:c r="L17" s="3"/>
    </x:row>
    <x:row r="18" ht="20" customHeight="1">
      <x:c r="A18" s="3" t="n">
        <x:v>10</x:v>
      </x:c>
      <x:c r="B18" s="3" t="str">
        <x:v>Image 1-2</x:v>
      </x:c>
      <x:c r="C18" s="3" t="n">
        <x:v>27292.439</x:v>
      </x:c>
      <x:c r="D18" s="3" t="n">
        <x:v>27332.64</x:v>
      </x:c>
      <x:c r="E18" s="3" t="n">
        <x:v>206.305</x:v>
      </x:c>
      <x:c r="F18" s="3" t="n">
        <x:f>(C18+D18)/2</x:f>
        <x:v>27312.5395</x:v>
      </x:c>
      <x:c r="G18" s="3" t="n">
        <x:f>E18^2/2</x:f>
        <x:v>21280.876512500003</x:v>
      </x:c>
      <x:c r="H18" s="3" t="n">
        <x:f>(C18+D18)/E18^2</x:f>
        <x:v>1.2834311351770264</x:v>
      </x:c>
      <x:c r="I18" s="3"/>
      <x:c r="J18" s="3"/>
      <x:c r="K18" s="3"/>
      <x:c r="L18" s="3"/>
    </x:row>
    <x:row r="19" ht="20" customHeight="1">
      <x:c r="A19" s="3" t="n">
        <x:v>10</x:v>
      </x:c>
      <x:c r="B19" s="3" t="str">
        <x:v>Image 3-4</x:v>
      </x:c>
      <x:c r="C19" s="3" t="n">
        <x:v>27375.066</x:v>
      </x:c>
      <x:c r="D19" s="3" t="n">
        <x:v>27404.033</x:v>
      </x:c>
      <x:c r="E19" s="3" t="n">
        <x:v>207.383</x:v>
      </x:c>
      <x:c r="F19" s="3" t="n">
        <x:f>(C19+D19)/2</x:f>
        <x:v>27389.5495</x:v>
      </x:c>
      <x:c r="G19" s="3" t="n">
        <x:f>E19^2/2</x:f>
        <x:v>21503.854344500003</x:v>
      </x:c>
      <x:c r="H19" s="3" t="n">
        <x:f>(C19+D19)/E19^2</x:f>
        <x:v>1.2737041955925157</x:v>
      </x:c>
      <x:c r="I19" s="3"/>
      <x:c r="J19" s="3"/>
      <x:c r="K19" s="3"/>
      <x:c r="L19" s="3"/>
    </x:row>
    <x:row r="20" ht="20" customHeight="1">
      <x:c r="A20" s="3" t="n">
        <x:v>10</x:v>
      </x:c>
      <x:c r="B20" s="3" t="str">
        <x:v>Image 5-6</x:v>
      </x:c>
      <x:c r="C20" s="3" t="n">
        <x:v>27428.922</x:v>
      </x:c>
      <x:c r="D20" s="3" t="n">
        <x:v>27441.744</x:v>
      </x:c>
      <x:c r="E20" s="3" t="n">
        <x:v>208.316</x:v>
      </x:c>
      <x:c r="F20" s="3" t="n">
        <x:f>(C20+D20)/2</x:f>
        <x:v>27435.333</x:v>
      </x:c>
      <x:c r="G20" s="3" t="n">
        <x:f>E20^2/2</x:f>
        <x:v>21697.777928</x:v>
      </x:c>
      <x:c r="H20" s="3" t="n">
        <x:f>(C20+D20)/E20^2</x:f>
        <x:v>1.2644305371286866</x:v>
      </x:c>
      <x:c r="I20" s="3"/>
      <x:c r="J20" s="3"/>
      <x:c r="K20" s="3"/>
      <x:c r="L20" s="3"/>
    </x:row>
    <x:row r="21" ht="20" customHeight="1">
      <x:c r="A21" s="3" t="n">
        <x:v>10</x:v>
      </x:c>
      <x:c r="B21" s="3" t="str">
        <x:v>Image 7-8</x:v>
      </x:c>
      <x:c r="C21" s="3" t="n">
        <x:v>27457.495</x:v>
      </x:c>
      <x:c r="D21" s="3" t="n">
        <x:v>27473.566</x:v>
      </x:c>
      <x:c r="E21" s="3" t="n">
        <x:v>211.179</x:v>
      </x:c>
      <x:c r="F21" s="3" t="n">
        <x:f>(C21+D21)/2</x:f>
        <x:v>27465.5305</x:v>
      </x:c>
      <x:c r="G21" s="3" t="n">
        <x:f>E21^2/2</x:f>
        <x:v>22298.2850205</x:v>
      </x:c>
      <x:c r="H21" s="3" t="n">
        <x:f>(C21+D21)/E21^2</x:f>
        <x:v>1.231732865318991</x:v>
      </x:c>
      <x:c r="I21" s="3"/>
      <x:c r="J21" s="3"/>
      <x:c r="K21" s="3"/>
      <x:c r="L21" s="3"/>
    </x:row>
    <x:row r="22" ht="20" customHeight="1">
      <x:c r="A22" s="3" t="n">
        <x:v>10</x:v>
      </x:c>
      <x:c r="B22" s="3" t="str">
        <x:v>Image 9-10</x:v>
      </x:c>
      <x:c r="C22" s="3" t="n">
        <x:v>27468.574</x:v>
      </x:c>
      <x:c r="D22" s="3" t="n">
        <x:v>27486.264</x:v>
      </x:c>
      <x:c r="E22" s="3" t="n">
        <x:v>207.172</x:v>
      </x:c>
      <x:c r="F22" s="3" t="n">
        <x:f>(C22+D22)/2</x:f>
        <x:v>27477.419</x:v>
      </x:c>
      <x:c r="G22" s="3" t="n">
        <x:f>E22^2/2</x:f>
        <x:v>21460.118792</x:v>
      </x:c>
      <x:c r="H22" s="3" t="n">
        <x:f>(C22+D22)/E22^2</x:f>
        <x:v>1.2803945433071486</x:v>
      </x:c>
      <x:c r="I22" s="3"/>
      <x:c r="J22" s="3"/>
      <x:c r="K22" s="3"/>
      <x:c r="L22" s="3"/>
    </x:row>
    <x:row r="23" ht="20" customHeight="1">
      <x:c r="A23" s="3" t="n">
        <x:v>10</x:v>
      </x:c>
      <x:c r="B23" s="3" t="str">
        <x:v>Image 11-12</x:v>
      </x:c>
      <x:c r="C23" s="3" t="n">
        <x:v>27489.176</x:v>
      </x:c>
      <x:c r="D23" s="3" t="n">
        <x:v>27491.303</x:v>
      </x:c>
      <x:c r="E23" s="3" t="n">
        <x:v>207.983</x:v>
      </x:c>
      <x:c r="F23" s="3" t="n">
        <x:f>(C23+D23)/2</x:f>
        <x:v>27490.2395</x:v>
      </x:c>
      <x:c r="G23" s="3" t="n">
        <x:f>E23^2/2</x:f>
        <x:v>21628.4641445</x:v>
      </x:c>
      <x:c r="H23" s="3" t="n">
        <x:f>(C23+D23)/E23^2</x:f>
        <x:v>1.271021340967043</x:v>
      </x:c>
      <x:c r="I23" s="3"/>
      <x:c r="J23" s="3"/>
      <x:c r="K23" s="3"/>
      <x:c r="L23" s="3"/>
    </x:row>
    <x:row r="24" ht="20" customHeight="1">
      <x:c r="A24" s="3" t="n">
        <x:v>10</x:v>
      </x:c>
      <x:c r="B24" s="3" t="str">
        <x:v>Image 13-14</x:v>
      </x:c>
      <x:c r="C24" s="3" t="n">
        <x:v>27487.725</x:v>
      </x:c>
      <x:c r="D24" s="3" t="n">
        <x:v>27493.991</x:v>
      </x:c>
      <x:c r="E24" s="3" t="n">
        <x:v>206.106</x:v>
      </x:c>
      <x:c r="F24" s="3" t="n">
        <x:f>(C24+D24)/2</x:f>
        <x:v>27490.858</x:v>
      </x:c>
      <x:c r="G24" s="3" t="n">
        <x:f>E24^2/2</x:f>
        <x:v>21239.841618</x:v>
      </x:c>
      <x:c r="H24" s="3" t="n">
        <x:f>(C24+D24)/E24^2</x:f>
        <x:v>1.294306167363437</x:v>
      </x:c>
      <x:c r="I24" s="3"/>
      <x:c r="J24" s="3"/>
      <x:c r="K24" s="3"/>
      <x:c r="L24" s="3"/>
    </x:row>
    <x:row r="25" ht="20" customHeight="1">
      <x:c r="A25" s="3" t="n">
        <x:v>10</x:v>
      </x:c>
      <x:c r="B25" s="3" t="str">
        <x:v>Image 15-16</x:v>
      </x:c>
      <x:c r="C25" s="3" t="n">
        <x:v>27494.844</x:v>
      </x:c>
      <x:c r="D25" s="3" t="n">
        <x:v>27494.51</x:v>
      </x:c>
      <x:c r="E25" s="3" t="n">
        <x:v>206.581</x:v>
      </x:c>
      <x:c r="F25" s="3" t="n">
        <x:f>(C25+D25)/2</x:f>
        <x:v>27494.677</x:v>
      </x:c>
      <x:c r="G25" s="3" t="n">
        <x:f>E25^2/2</x:f>
        <x:v>21337.854780499998</x:v>
      </x:c>
      <x:c r="H25" s="3" t="n">
        <x:f>(C25+D25)/E25^2</x:f>
        <x:v>1.2885398875770084</x:v>
      </x:c>
      <x:c r="I25" s="3"/>
      <x:c r="J25" s="3"/>
      <x:c r="K25" s="3"/>
      <x:c r="L25" s="3"/>
    </x:row>
    <x:row r="26" ht="20" customHeight="1">
      <x:c r="A26" s="3" t="n">
        <x:v>10</x:v>
      </x:c>
      <x:c r="B26" s="3" t="str">
        <x:v>Image 17-18</x:v>
      </x:c>
      <x:c r="C26" s="3" t="n">
        <x:v>27497.841</x:v>
      </x:c>
      <x:c r="D26" s="3" t="n">
        <x:v>27506.219</x:v>
      </x:c>
      <x:c r="E26" s="3" t="n">
        <x:v>205.989</x:v>
      </x:c>
      <x:c r="F26" s="3" t="n">
        <x:f>(C26+D26)/2</x:f>
        <x:v>27502.03</x:v>
      </x:c>
      <x:c r="G26" s="3" t="n">
        <x:f>E26^2/2</x:f>
        <x:v>21215.734060500003</x:v>
      </x:c>
      <x:c r="H26" s="3" t="n">
        <x:f>(C26+D26)/E26^2</x:f>
        <x:v>1.296303485025483</x:v>
      </x:c>
      <x:c r="I26" s="3"/>
      <x:c r="J26" s="3"/>
      <x:c r="K26" s="3"/>
      <x:c r="L26" s="3"/>
    </x:row>
    <x:row r="27" ht="20" customHeight="1">
      <x:c r="A27" s="3" t="n">
        <x:v>10</x:v>
      </x:c>
      <x:c r="B27" s="3" t="str">
        <x:v>Image 19-20</x:v>
      </x:c>
      <x:c r="C27" s="3" t="n">
        <x:v>27397.23</x:v>
      </x:c>
      <x:c r="D27" s="3" t="n">
        <x:v>27500.595</x:v>
      </x:c>
      <x:c r="E27" s="3" t="n">
        <x:v>207.951</x:v>
      </x:c>
      <x:c r="F27" s="3" t="n">
        <x:f>(C27+D27)/2</x:f>
        <x:v>27448.9125</x:v>
      </x:c>
      <x:c r="G27" s="3" t="n">
        <x:f>E27^2/2</x:f>
        <x:v>21621.8092005</x:v>
      </x:c>
      <x:c r="H27" s="3" t="n">
        <x:f>(C27+D27)/E27^2</x:f>
        <x:v>1.2695011895380728</x:v>
      </x:c>
      <x:c r="I27" s="3"/>
      <x:c r="J27" s="3"/>
      <x:c r="K27" s="3"/>
      <x:c r="L27" s="3"/>
    </x:row>
    <x:row r="28" ht="2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0" customHeight="1">
      <x:c r="A30" s="3" t="str">
        <x:v>0.2-s photon-only mean</x:v>
      </x:c>
      <x:c r="B30" s="3"/>
      <x:c r="C30" s="3"/>
      <x:c r="D30" s="6" t="n">
        <x:f>AVERAGE(H8:H17)</x:f>
        <x:v>0.8294992365624548</x:v>
      </x:c>
      <x:c r="E30" s="3"/>
      <x:c r="F30" s="3"/>
      <x:c r="G30" s="3"/>
      <x:c r="H30" s="3"/>
      <x:c r="I30" s="3"/>
      <x:c r="J30" s="3"/>
      <x:c r="K30" s="3"/>
      <x:c r="L30" s="3"/>
    </x:row>
    <x:row r="31" ht="20" customHeight="1">
      <x:c r="A31" s="3" t="str">
        <x:v>0.2-s SEM</x:v>
      </x:c>
      <x:c r="B31" s="3"/>
      <x:c r="C31" s="3"/>
      <x:c r="D31" s="6" t="n">
        <x:f>STDEV(H8:H17)/SQRT(COUNT(H8:H17))</x:f>
        <x:v>0.004541319418535602</x:v>
      </x:c>
      <x:c r="E31" s="3"/>
      <x:c r="F31" s="3"/>
      <x:c r="G31" s="3"/>
      <x:c r="H31" s="3"/>
      <x:c r="I31" s="3"/>
      <x:c r="J31" s="3"/>
      <x:c r="K31" s="3"/>
      <x:c r="L31" s="3"/>
    </x:row>
    <x:row r="32" ht="20" customHeight="1">
      <x:c r="A32" s="3" t="str">
        <x:v>10-s photon-only mean</x:v>
      </x:c>
      <x:c r="B32" s="3"/>
      <x:c r="C32" s="3"/>
      <x:c r="D32" s="6" t="n">
        <x:f>AVERAGE(H18:H27)</x:f>
        <x:v>1.2753365346995413</x:v>
      </x:c>
      <x:c r="E32" s="3"/>
      <x:c r="F32" s="3"/>
      <x:c r="G32" s="3"/>
      <x:c r="H32" s="3"/>
      <x:c r="I32" s="3"/>
      <x:c r="J32" s="3"/>
      <x:c r="K32" s="3"/>
      <x:c r="L32" s="3"/>
    </x:row>
    <x:row r="33" ht="20" customHeight="1">
      <x:c r="A33" s="3" t="str">
        <x:v>10-s SEM</x:v>
      </x:c>
      <x:c r="B33" s="3"/>
      <x:c r="C33" s="3"/>
      <x:c r="D33" s="6" t="n">
        <x:f>STDEV(H18:H27)/SQRT(COUNT(H18:H27))</x:f>
        <x:v>0.005907106785777364</x:v>
      </x:c>
      <x:c r="E33" s="3"/>
      <x:c r="F33" s="3"/>
      <x:c r="G33" s="3"/>
      <x:c r="H33" s="3"/>
      <x:c r="I33" s="3"/>
      <x:c r="J33" s="3"/>
      <x:c r="K33" s="3"/>
      <x:c r="L33" s="3"/>
    </x:row>
    <x:row r="34" ht="2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0" customHeight="1">
      <x:c r="A35" s="3" t="str">
        <x:v>Joint slope a</x:v>
      </x:c>
      <x:c r="B35" s="3"/>
      <x:c r="C35" s="3"/>
      <x:c r="D35" s="6" t="n">
        <x:f>SLOPE(G8:G27,F8:F27)</x:f>
        <x:v>0.7751027396052285</x:v>
      </x:c>
      <x:c r="E35" s="3"/>
      <x:c r="F35" s="3"/>
      <x:c r="G35" s="3"/>
      <x:c r="H35" s="3"/>
      <x:c r="I35" s="3"/>
      <x:c r="J35" s="3"/>
      <x:c r="K35" s="3"/>
      <x:c r="L35" s="3"/>
    </x:row>
    <x:row r="36" ht="20" customHeight="1">
      <x:c r="A36" s="3" t="str">
        <x:v>Intercept c (DN2)</x:v>
      </x:c>
      <x:c r="B36" s="3"/>
      <x:c r="C36" s="3"/>
      <x:c r="D36" s="6" t="n">
        <x:f>INTERCEPT(G8:G27,F8:F27)</x:f>
        <x:v>251.29023263413728</x:v>
      </x:c>
      <x:c r="E36" s="3"/>
      <x:c r="F36" s="3"/>
      <x:c r="G36" s="3"/>
      <x:c r="H36" s="3"/>
      <x:c r="I36" s="3"/>
      <x:c r="J36" s="3"/>
      <x:c r="K36" s="3"/>
      <x:c r="L36" s="3"/>
    </x:row>
    <x:row r="37" ht="20" customHeight="1">
      <x:c r="A37" s="3" t="str">
        <x:v>Slope SE</x:v>
      </x:c>
      <x:c r="B37" s="3"/>
      <x:c r="C37" s="3"/>
      <x:c r="D37" s="6" t="n">
        <x:f>STEYX(G8:G27,F8:F27)/SQRT(DEVSQ(F8:F27))</x:f>
        <x:v>0.0037799308144606234</x:v>
      </x:c>
      <x:c r="E37" s="3"/>
      <x:c r="F37" s="3"/>
      <x:c r="G37" s="3"/>
      <x:c r="H37" s="3"/>
      <x:c r="I37" s="3"/>
      <x:c r="J37" s="3"/>
      <x:c r="K37" s="3"/>
      <x:c r="L37" s="3"/>
    </x:row>
    <x:row r="38" ht="20" customHeight="1">
      <x:c r="A38" s="3" t="str">
        <x:v>Joint gain (e-/DN)</x:v>
      </x:c>
      <x:c r="B38" s="3"/>
      <x:c r="C38" s="3"/>
      <x:c r="D38" s="6" t="n">
        <x:f>1/D35</x:f>
        <x:v>1.29015154882476</x:v>
      </x:c>
      <x:c r="E38" s="3"/>
      <x:c r="F38" s="3"/>
      <x:c r="G38" s="3"/>
      <x:c r="H38" s="3"/>
      <x:c r="I38" s="3"/>
      <x:c r="J38" s="3"/>
      <x:c r="K38" s="3"/>
      <x:c r="L38" s="3"/>
    </x:row>
    <x:row r="39" ht="20" customHeight="1">
      <x:c r="A39" s="3" t="str">
        <x:v>Gain SE (e-/DN)</x:v>
      </x:c>
      <x:c r="B39" s="3"/>
      <x:c r="C39" s="3"/>
      <x:c r="D39" s="6" t="n">
        <x:f>D37/D35^2</x:f>
        <x:v>0.006291660892865091</x:v>
      </x:c>
      <x:c r="E39" s="3"/>
      <x:c r="F39" s="3"/>
      <x:c r="G39" s="3"/>
      <x:c r="H39" s="3"/>
      <x:c r="I39" s="3"/>
      <x:c r="J39" s="3"/>
      <x:c r="K39" s="3"/>
      <x:c r="L39" s="3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0" customHeight="1">
      <x:c r="A41" s="3" t="str">
        <x:v>ADC maximum (DN)</x:v>
      </x:c>
      <x:c r="B41" s="3"/>
      <x:c r="C41" s="3"/>
      <x:c r="D41" s="3" t="n">
        <x:v>65535</x:v>
      </x:c>
      <x:c r="E41" s="3"/>
      <x:c r="F41" s="3"/>
      <x:c r="G41" s="3"/>
      <x:c r="H41" s="3"/>
      <x:c r="I41" s="3"/>
      <x:c r="J41" s="3"/>
      <x:c r="K41" s="3"/>
      <x:c r="L41" s="3"/>
    </x:row>
    <x:row r="42" ht="20" customHeight="1">
      <x:c r="A42" s="3" t="str">
        <x:v>Electrons at ADC maximum</x:v>
      </x:c>
      <x:c r="B42" s="3"/>
      <x:c r="C42" s="3"/>
      <x:c r="D42" s="11" t="n">
        <x:f>D41*D38</x:f>
        <x:v>84550.08175223065</x:v>
      </x:c>
      <x:c r="E42" s="3"/>
      <x:c r="F42" s="3"/>
      <x:c r="G42" s="3"/>
      <x:c r="H42" s="3"/>
      <x:c r="I42" s="3"/>
      <x:c r="J42" s="3"/>
      <x:c r="K42" s="3"/>
      <x:c r="L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0" customHeight="1">
      <x:c r="A44" s="3" t="str">
        <x:v>Means have their stored 100-DN pedestal removed once. Fit errors exclude shared calibration and region-selection effects.</x:v>
      </x:c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2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 ht="2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 ht="2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2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 ht="2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2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2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2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 ht="2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 ht="20" customHeight="1">
      <x:c r="A67" s="3" t="str">
        <x:v>Original sky PTC measurements (spatial noise; qualitative comparison)</x:v>
      </x:c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 ht="20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 ht="34" customHeight="1">
      <x:c r="A69" s="7" t="str">
        <x:v>Sky signal (DN)</x:v>
      </x:c>
      <x:c r="B69" s="7" t="str">
        <x:v>Sky noise (DN)</x:v>
      </x:c>
      <x:c r="C69" s="7" t="str">
        <x:v>log10(signal)</x:v>
      </x:c>
      <x:c r="D69" s="7" t="str">
        <x:v>log10(noise)</x:v>
      </x:c>
      <x:c r="E69" s="3"/>
      <x:c r="F69" s="3"/>
      <x:c r="G69" s="3"/>
      <x:c r="H69" s="3"/>
      <x:c r="I69" s="3"/>
      <x:c r="J69" s="3"/>
      <x:c r="K69" s="3"/>
      <x:c r="L69" s="3"/>
    </x:row>
    <x:row r="70" ht="20" customHeight="1">
      <x:c r="A70" s="3" t="n">
        <x:v>38284.84193609378</x:v>
      </x:c>
      <x:c r="B70" s="3" t="n">
        <x:v>242.3234971490645</x:v>
      </x:c>
      <x:c r="C70" s="3" t="n">
        <x:f>LOG10(A70)</x:f>
        <x:v>4.58302685839289</x:v>
      </x:c>
      <x:c r="D70" s="3" t="n">
        <x:f>LOG10(B70)</x:f>
        <x:v>2.38439552799392</x:v>
      </x:c>
      <x:c r="E70" s="3"/>
      <x:c r="F70" s="3"/>
      <x:c r="G70" s="3"/>
      <x:c r="H70" s="3"/>
      <x:c r="I70" s="3"/>
      <x:c r="J70" s="3"/>
      <x:c r="K70" s="3"/>
      <x:c r="L70" s="3"/>
    </x:row>
    <x:row r="71" ht="20" customHeight="1">
      <x:c r="A71" s="3" t="n">
        <x:v>35202.159135312286</x:v>
      </x:c>
      <x:c r="B71" s="3" t="n">
        <x:v>228.9214275493916</x:v>
      </x:c>
      <x:c r="C71" s="3" t="n">
        <x:f>LOG10(A71)</x:f>
        <x:v>4.54656930188137</x:v>
      </x:c>
      <x:c r="D71" s="3" t="n">
        <x:f>LOG10(B71)</x:f>
        <x:v>2.3596864454964</x:v>
      </x:c>
      <x:c r="E71" s="3"/>
      <x:c r="F71" s="3"/>
      <x:c r="G71" s="3"/>
      <x:c r="H71" s="3"/>
      <x:c r="I71" s="3"/>
      <x:c r="J71" s="3"/>
      <x:c r="K71" s="3"/>
      <x:c r="L71" s="3"/>
    </x:row>
    <x:row r="72" ht="20" customHeight="1">
      <x:c r="A72" s="3" t="n">
        <x:v>34484.888069578374</x:v>
      </x:c>
      <x:c r="B72" s="3" t="n">
        <x:v>231.19446539129655</x:v>
      </x:c>
      <x:c r="C72" s="3" t="n">
        <x:f>LOG10(A72)</x:f>
        <x:v>4.53762882070213</x:v>
      </x:c>
      <x:c r="D72" s="3" t="n">
        <x:f>LOG10(B72)</x:f>
        <x:v>2.36397743321393</x:v>
      </x:c>
      <x:c r="E72" s="3"/>
      <x:c r="F72" s="3"/>
      <x:c r="G72" s="3"/>
      <x:c r="H72" s="3"/>
      <x:c r="I72" s="3"/>
      <x:c r="J72" s="3"/>
      <x:c r="K72" s="3"/>
      <x:c r="L72" s="3"/>
    </x:row>
    <x:row r="73" ht="20" customHeight="1">
      <x:c r="A73" s="3" t="n">
        <x:v>33826.40291170354</x:v>
      </x:c>
      <x:c r="B73" s="3" t="n">
        <x:v>227.34424774469943</x:v>
      </x:c>
      <x:c r="C73" s="3" t="n">
        <x:f>LOG10(A73)</x:f>
        <x:v>4.52925581751435</x:v>
      </x:c>
      <x:c r="D73" s="3" t="n">
        <x:f>LOG10(B73)</x:f>
        <x:v>2.35668397017808</x:v>
      </x:c>
      <x:c r="E73" s="3"/>
      <x:c r="F73" s="3"/>
      <x:c r="G73" s="3"/>
      <x:c r="H73" s="3"/>
      <x:c r="I73" s="3"/>
      <x:c r="J73" s="3"/>
      <x:c r="K73" s="3"/>
      <x:c r="L73" s="3"/>
    </x:row>
    <x:row r="74" ht="20" customHeight="1">
      <x:c r="A74" s="3" t="n">
        <x:v>32859.832608558645</x:v>
      </x:c>
      <x:c r="B74" s="3" t="n">
        <x:v>225.02008838005867</x:v>
      </x:c>
      <x:c r="C74" s="3" t="n">
        <x:f>LOG10(A74)</x:f>
        <x:v>4.51666534676294</x:v>
      </x:c>
      <x:c r="D74" s="3" t="n">
        <x:f>LOG10(B74)</x:f>
        <x:v>2.35222129092547</x:v>
      </x:c>
      <x:c r="E74" s="3"/>
      <x:c r="F74" s="3"/>
      <x:c r="G74" s="3"/>
      <x:c r="H74" s="3"/>
      <x:c r="I74" s="3"/>
      <x:c r="J74" s="3"/>
      <x:c r="K74" s="3"/>
      <x:c r="L74" s="3"/>
    </x:row>
    <x:row r="75" ht="20" customHeight="1">
      <x:c r="A75" s="3" t="n">
        <x:v>30662.349089304847</x:v>
      </x:c>
      <x:c r="B75" s="3" t="n">
        <x:v>215.8223657212181</x:v>
      </x:c>
      <x:c r="C75" s="3" t="n">
        <x:f>LOG10(A75)</x:f>
        <x:v>4.48660542375522</x:v>
      </x:c>
      <x:c r="D75" s="3" t="n">
        <x:f>LOG10(B75)</x:f>
        <x:v>2.33409644871573</x:v>
      </x:c>
      <x:c r="E75" s="3"/>
      <x:c r="F75" s="3"/>
      <x:c r="G75" s="3"/>
      <x:c r="H75" s="3"/>
      <x:c r="I75" s="3"/>
      <x:c r="J75" s="3"/>
      <x:c r="K75" s="3"/>
      <x:c r="L75" s="3"/>
    </x:row>
    <x:row r="76" ht="20" customHeight="1">
      <x:c r="A76" s="3" t="n">
        <x:v>29390.54194239617</x:v>
      </x:c>
      <x:c r="B76" s="3" t="n">
        <x:v>204.63914596280563</x:v>
      </x:c>
      <x:c r="C76" s="3" t="n">
        <x:f>LOG10(A76)</x:f>
        <x:v>4.46820759425302</x:v>
      </x:c>
      <x:c r="D76" s="3" t="n">
        <x:f>LOG10(B76)</x:f>
        <x:v>2.31098871466187</x:v>
      </x:c>
      <x:c r="E76" s="3"/>
      <x:c r="F76" s="3"/>
      <x:c r="G76" s="3"/>
      <x:c r="H76" s="3"/>
      <x:c r="I76" s="3"/>
      <x:c r="J76" s="3"/>
      <x:c r="K76" s="3"/>
      <x:c r="L76" s="3"/>
    </x:row>
    <x:row r="77" ht="20" customHeight="1">
      <x:c r="A77" s="3" t="n">
        <x:v>27703.051994705995</x:v>
      </x:c>
      <x:c r="B77" s="3" t="n">
        <x:v>201.53458034125333</x:v>
      </x:c>
      <x:c r="C77" s="3" t="n">
        <x:f>LOG10(A77)</x:f>
        <x:v>4.44252761713105</x:v>
      </x:c>
      <x:c r="D77" s="3" t="n">
        <x:f>LOG10(B77)</x:f>
        <x:v>2.30434957535493</x:v>
      </x:c>
      <x:c r="E77" s="3"/>
      <x:c r="F77" s="3"/>
      <x:c r="G77" s="3"/>
      <x:c r="H77" s="3"/>
      <x:c r="I77" s="3"/>
      <x:c r="J77" s="3"/>
      <x:c r="K77" s="3"/>
      <x:c r="L77" s="3"/>
    </x:row>
    <x:row r="78" ht="20" customHeight="1">
      <x:c r="A78" s="3" t="n">
        <x:v>25901.27862860024</x:v>
      </x:c>
      <x:c r="B78" s="3" t="n">
        <x:v>188.08725040334232</x:v>
      </x:c>
      <x:c r="C78" s="3" t="n">
        <x:f>LOG10(A78)</x:f>
        <x:v>4.41332120375843</x:v>
      </x:c>
      <x:c r="D78" s="3" t="n">
        <x:f>LOG10(B78)</x:f>
        <x:v>2.27435935766023</x:v>
      </x:c>
      <x:c r="E78" s="3"/>
      <x:c r="F78" s="3"/>
      <x:c r="G78" s="3"/>
      <x:c r="H78" s="3"/>
      <x:c r="I78" s="3"/>
      <x:c r="J78" s="3"/>
      <x:c r="K78" s="3"/>
      <x:c r="L78" s="3"/>
    </x:row>
    <x:row r="79" ht="20" customHeight="1">
      <x:c r="A79" s="3" t="n">
        <x:v>24335.659355895885</x:v>
      </x:c>
      <x:c r="B79" s="3" t="n">
        <x:v>183.96541669024097</x:v>
      </x:c>
      <x:c r="C79" s="3" t="n">
        <x:f>LOG10(A79)</x:f>
        <x:v>4.38624311761252</x:v>
      </x:c>
      <x:c r="D79" s="3" t="n">
        <x:f>LOG10(B79)</x:f>
        <x:v>2.26473618848652</x:v>
      </x:c>
      <x:c r="E79" s="3"/>
      <x:c r="F79" s="3"/>
      <x:c r="G79" s="3"/>
      <x:c r="H79" s="3"/>
      <x:c r="I79" s="3"/>
      <x:c r="J79" s="3"/>
      <x:c r="K79" s="3"/>
      <x:c r="L79" s="3"/>
    </x:row>
    <x:row r="80" ht="20" customHeight="1">
      <x:c r="A80" s="3" t="n">
        <x:v>23045.383563370517</x:v>
      </x:c>
      <x:c r="B80" s="3" t="n">
        <x:v>180.22808315710748</x:v>
      </x:c>
      <x:c r="C80" s="3" t="n">
        <x:f>LOG10(A80)</x:f>
        <x:v>4.36258394084279</x:v>
      </x:c>
      <x:c r="D80" s="3" t="n">
        <x:f>LOG10(B80)</x:f>
        <x:v>2.2558224637235</x:v>
      </x:c>
      <x:c r="E80" s="3"/>
      <x:c r="F80" s="3"/>
      <x:c r="G80" s="3"/>
      <x:c r="H80" s="3"/>
      <x:c r="I80" s="3"/>
      <x:c r="J80" s="3"/>
      <x:c r="K80" s="3"/>
      <x:c r="L80" s="3"/>
    </x:row>
    <x:row r="81" ht="20" customHeight="1">
      <x:c r="A81" s="3" t="n">
        <x:v>22151.832293439213</x:v>
      </x:c>
      <x:c r="B81" s="3" t="n">
        <x:v>176.85795632587647</x:v>
      </x:c>
      <x:c r="C81" s="3" t="n">
        <x:f>LOG10(A81)</x:f>
        <x:v>4.34540965480371</x:v>
      </x:c>
      <x:c r="D81" s="3" t="n">
        <x:f>LOG10(B81)</x:f>
        <x:v>2.24762460223785</x:v>
      </x:c>
      <x:c r="E81" s="3"/>
      <x:c r="F81" s="3"/>
      <x:c r="G81" s="3"/>
      <x:c r="H81" s="3"/>
      <x:c r="I81" s="3"/>
      <x:c r="J81" s="3"/>
      <x:c r="K81" s="3"/>
      <x:c r="L81" s="3"/>
    </x:row>
    <x:row r="82" ht="20" customHeight="1">
      <x:c r="A82" s="3" t="n">
        <x:v>21009.28820823092</x:v>
      </x:c>
      <x:c r="B82" s="3" t="n">
        <x:v>168.85130650972422</x:v>
      </x:c>
      <x:c r="C82" s="3" t="n">
        <x:f>LOG10(A82)</x:f>
        <x:v>4.32241133881842</x:v>
      </x:c>
      <x:c r="D82" s="3" t="n">
        <x:f>LOG10(B82)</x:f>
        <x:v>2.22750442539647</x:v>
      </x:c>
      <x:c r="E82" s="3"/>
      <x:c r="F82" s="3"/>
      <x:c r="G82" s="3"/>
      <x:c r="H82" s="3"/>
      <x:c r="I82" s="3"/>
      <x:c r="J82" s="3"/>
      <x:c r="K82" s="3"/>
      <x:c r="L82" s="3"/>
    </x:row>
    <x:row r="83" ht="20" customHeight="1">
      <x:c r="A83" s="3" t="n">
        <x:v>19809.95928656961</x:v>
      </x:c>
      <x:c r="B83" s="3" t="n">
        <x:v>166.41517492002015</x:v>
      </x:c>
      <x:c r="C83" s="3" t="n">
        <x:f>LOG10(A83)</x:f>
        <x:v>4.2968835829774</x:v>
      </x:c>
      <x:c r="D83" s="3" t="n">
        <x:f>LOG10(B83)</x:f>
        <x:v>2.22119292582213</x:v>
      </x:c>
      <x:c r="E83" s="3"/>
      <x:c r="F83" s="3"/>
      <x:c r="G83" s="3"/>
      <x:c r="H83" s="3"/>
      <x:c r="I83" s="3"/>
      <x:c r="J83" s="3"/>
      <x:c r="K83" s="3"/>
      <x:c r="L83" s="3"/>
    </x:row>
    <x:row r="84" ht="20" customHeight="1">
      <x:c r="A84" s="3" t="n">
        <x:v>18588.63975546732</x:v>
      </x:c>
      <x:c r="B84" s="3" t="n">
        <x:v>158.3211286697969</x:v>
      </x:c>
      <x:c r="C84" s="3" t="n">
        <x:f>LOG10(A84)</x:f>
        <x:v>4.2692476109495</x:v>
      </x:c>
      <x:c r="D84" s="3" t="n">
        <x:f>LOG10(B84)</x:f>
        <x:v>2.19953887729054</x:v>
      </x:c>
      <x:c r="E84" s="3"/>
      <x:c r="F84" s="3"/>
      <x:c r="G84" s="3"/>
      <x:c r="H84" s="3"/>
      <x:c r="I84" s="3"/>
      <x:c r="J84" s="3"/>
      <x:c r="K84" s="3"/>
      <x:c r="L84" s="3"/>
    </x:row>
    <x:row r="85" ht="20" customHeight="1">
      <x:c r="A85" s="3" t="n">
        <x:v>18002.925064599483</x:v>
      </x:c>
      <x:c r="B85" s="3" t="n">
        <x:v>157.33922920107477</x:v>
      </x:c>
      <x:c r="C85" s="3" t="n">
        <x:f>LOG10(A85)</x:f>
        <x:v>4.25534307378156</x:v>
      </x:c>
      <x:c r="D85" s="3" t="n">
        <x:f>LOG10(B85)</x:f>
        <x:v>2.1968370182461</x:v>
      </x:c>
      <x:c r="E85" s="3"/>
      <x:c r="F85" s="3"/>
      <x:c r="G85" s="3"/>
      <x:c r="H85" s="3"/>
      <x:c r="I85" s="3"/>
      <x:c r="J85" s="3"/>
      <x:c r="K85" s="3"/>
      <x:c r="L85" s="3"/>
    </x:row>
    <x:row r="86" ht="20" customHeight="1">
      <x:c r="A86" s="3" t="n">
        <x:v>17563.184849057794</x:v>
      </x:c>
      <x:c r="B86" s="3" t="n">
        <x:v>156.6549497417712</x:v>
      </x:c>
      <x:c r="C86" s="3" t="n">
        <x:f>LOG10(A86)</x:f>
        <x:v>4.24460327221672</x:v>
      </x:c>
      <x:c r="D86" s="3" t="n">
        <x:f>LOG10(B86)</x:f>
        <x:v>2.19494412160251</x:v>
      </x:c>
      <x:c r="E86" s="3"/>
      <x:c r="F86" s="3"/>
      <x:c r="G86" s="3"/>
      <x:c r="H86" s="3"/>
      <x:c r="I86" s="3"/>
      <x:c r="J86" s="3"/>
      <x:c r="K86" s="3"/>
      <x:c r="L86" s="3"/>
    </x:row>
    <x:row r="87" ht="20" customHeight="1">
      <x:c r="A87" s="3" t="n">
        <x:v>16895.40316379908</x:v>
      </x:c>
      <x:c r="B87" s="3" t="n">
        <x:v>152.7843062723574</x:v>
      </x:c>
      <x:c r="C87" s="3" t="n">
        <x:f>LOG10(A87)</x:f>
        <x:v>4.22776855951572</x:v>
      </x:c>
      <x:c r="D87" s="3" t="n">
        <x:f>LOG10(B87)</x:f>
        <x:v>2.18407874658684</x:v>
      </x:c>
      <x:c r="E87" s="3"/>
      <x:c r="F87" s="3"/>
      <x:c r="G87" s="3"/>
      <x:c r="H87" s="3"/>
      <x:c r="I87" s="3"/>
      <x:c r="J87" s="3"/>
      <x:c r="K87" s="3"/>
      <x:c r="L87" s="3"/>
    </x:row>
    <x:row r="88" ht="20" customHeight="1">
      <x:c r="A88" s="3" t="n">
        <x:v>16328.460956702593</x:v>
      </x:c>
      <x:c r="B88" s="3" t="n">
        <x:v>150.5438907366994</x:v>
      </x:c>
      <x:c r="C88" s="3" t="n">
        <x:f>LOG10(A88)</x:f>
        <x:v>4.21294525212733</x:v>
      </x:c>
      <x:c r="D88" s="3" t="n">
        <x:f>LOG10(B88)</x:f>
        <x:v>2.17766313598179</x:v>
      </x:c>
      <x:c r="E88" s="3"/>
      <x:c r="F88" s="3"/>
      <x:c r="G88" s="3"/>
      <x:c r="H88" s="3"/>
      <x:c r="I88" s="3"/>
      <x:c r="J88" s="3"/>
      <x:c r="K88" s="3"/>
      <x:c r="L88" s="3"/>
    </x:row>
    <x:row r="89" ht="20" customHeight="1">
      <x:c r="A89" s="3" t="n">
        <x:v>16047.711917816852</x:v>
      </x:c>
      <x:c r="B89" s="3" t="n">
        <x:v>148.60707006796386</x:v>
      </x:c>
      <x:c r="C89" s="3" t="n">
        <x:f>LOG10(A89)</x:f>
        <x:v>4.20541311946339</x:v>
      </x:c>
      <x:c r="D89" s="3" t="n">
        <x:f>LOG10(B89)</x:f>
        <x:v>2.17203947172915</x:v>
      </x:c>
      <x:c r="E89" s="3"/>
      <x:c r="F89" s="3"/>
      <x:c r="G89" s="3"/>
      <x:c r="H89" s="3"/>
      <x:c r="I89" s="3"/>
      <x:c r="J89" s="3"/>
      <x:c r="K89" s="3"/>
      <x:c r="L89" s="3"/>
    </x:row>
    <x:row r="90" ht="20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</x:row>
    <x:row r="91" ht="20" customHeight="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</x:row>
    <x:row r="92" ht="20" customHeight="1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</x:row>
    <x:row r="93" ht="20" customHeight="1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</x:row>
    <x:row r="94" ht="20" customHeight="1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</x:row>
    <x:row r="95" ht="20" customHeight="1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</x:row>
    <x:row r="96" ht="20" customHeight="1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</x:row>
    <x:row r="97" ht="20" customHeight="1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</x:row>
    <x:row r="98" ht="20" customHeight="1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</x:row>
    <x:row r="99" ht="20" customHeight="1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</x:row>
    <x:row r="100" ht="20" customHeight="1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</x:row>
  </x:sheetData>
  <x:pageMargins left="0.7" right="0.7" top="0.75" bottom="0.75" header="0.3" footer="0.3"/>
  <x:drawing xmlns:r="http://schemas.openxmlformats.org/officeDocument/2006/relationships" r:id="R2cbdfb1f23844b49"/>
</x:worksheet>
</file>

<file path=xl/worksheets/sheet4.xml><?xml version="1.0" encoding="utf-8"?>
<x:worksheet xmlns:x="http://schemas.openxmlformats.org/spreadsheetml/2006/main">
  <x:sheetViews>
    <x:sheetView showGridLines="1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0" customHeight="1">
      <x:c r="A2" s="4" t="str">
        <x:v>Exercise C: Focus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0" customHeight="1">
      <x:c r="A4" s="5" t="str">
        <x:v>Source: recorded focus positions and AstroImageJ FWHMs listed in the report.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4" customHeight="1">
      <x:c r="A7" s="7" t="str">
        <x:v>Image</x:v>
      </x:c>
      <x:c r="B7" s="7" t="str">
        <x:v>Focus (micron)</x:v>
      </x:c>
      <x:c r="C7" s="7" t="str">
        <x:v>FWHM (pix)</x:v>
      </x:c>
      <x:c r="D7" s="7" t="str">
        <x:v>x=(f-16000)/1000</x:v>
      </x:c>
      <x:c r="E7" s="7" t="str">
        <x:v>x squared</x:v>
      </x:c>
      <x:c r="F7" s="7" t="str">
        <x:v>x centered</x:v>
      </x:c>
      <x:c r="G7" s="7" t="str">
        <x:v>x2 centered</x:v>
      </x:c>
      <x:c r="H7" s="7" t="str">
        <x:v>Width centered</x:v>
      </x:c>
      <x:c r="I7" s="3"/>
      <x:c r="J7" s="3"/>
      <x:c r="K7" s="3"/>
      <x:c r="L7" s="3"/>
    </x:row>
    <x:row r="8" ht="20" customHeight="1">
      <x:c r="A8" s="12" t="n">
        <x:v>1</x:v>
      </x:c>
      <x:c r="B8" s="12" t="n">
        <x:v>17000</x:v>
      </x:c>
      <x:c r="C8" s="3" t="n">
        <x:v>11.55</x:v>
      </x:c>
      <x:c r="D8" s="3" t="n">
        <x:f>(B8-16000)/1000</x:f>
        <x:v>1</x:v>
      </x:c>
      <x:c r="E8" s="3" t="n">
        <x:f>D8^2</x:f>
        <x:v>1</x:v>
      </x:c>
      <x:c r="F8" s="3" t="n">
        <x:f>D8-AVERAGE($D$8:$D$15)</x:f>
        <x:v>0.75</x:v>
      </x:c>
      <x:c r="G8" s="3" t="n">
        <x:f>E8-AVERAGE($E$8:$E$15)</x:f>
        <x:v>0.4375</x:v>
      </x:c>
      <x:c r="H8" s="3" t="n">
        <x:f>C8-AVERAGE($C$8:$C$15)</x:f>
        <x:v>0.38250000000000206</x:v>
      </x:c>
      <x:c r="I8" s="3"/>
      <x:c r="J8" s="3"/>
      <x:c r="K8" s="3"/>
      <x:c r="L8" s="3"/>
    </x:row>
    <x:row r="9" ht="20" customHeight="1">
      <x:c r="A9" s="12" t="n">
        <x:v>2</x:v>
      </x:c>
      <x:c r="B9" s="12" t="n">
        <x:v>17000</x:v>
      </x:c>
      <x:c r="C9" s="3" t="n">
        <x:v>12.41</x:v>
      </x:c>
      <x:c r="D9" s="3" t="n">
        <x:f>(B9-16000)/1000</x:f>
        <x:v>1</x:v>
      </x:c>
      <x:c r="E9" s="3" t="n">
        <x:f>D9^2</x:f>
        <x:v>1</x:v>
      </x:c>
      <x:c r="F9" s="3" t="n">
        <x:f>D9-AVERAGE($D$8:$D$15)</x:f>
        <x:v>0.75</x:v>
      </x:c>
      <x:c r="G9" s="3" t="n">
        <x:f>E9-AVERAGE($E$8:$E$15)</x:f>
        <x:v>0.4375</x:v>
      </x:c>
      <x:c r="H9" s="3" t="n">
        <x:f>C9-AVERAGE($C$8:$C$15)</x:f>
        <x:v>1.2425000000000015</x:v>
      </x:c>
      <x:c r="I9" s="3"/>
      <x:c r="J9" s="3"/>
      <x:c r="K9" s="3"/>
      <x:c r="L9" s="3"/>
    </x:row>
    <x:row r="10" ht="20" customHeight="1">
      <x:c r="A10" s="12" t="n">
        <x:v>3</x:v>
      </x:c>
      <x:c r="B10" s="12" t="n">
        <x:v>17000</x:v>
      </x:c>
      <x:c r="C10" s="3" t="n">
        <x:v>11.19</x:v>
      </x:c>
      <x:c r="D10" s="3" t="n">
        <x:f>(B10-16000)/1000</x:f>
        <x:v>1</x:v>
      </x:c>
      <x:c r="E10" s="3" t="n">
        <x:f>D10^2</x:f>
        <x:v>1</x:v>
      </x:c>
      <x:c r="F10" s="3" t="n">
        <x:f>D10-AVERAGE($D$8:$D$15)</x:f>
        <x:v>0.75</x:v>
      </x:c>
      <x:c r="G10" s="3" t="n">
        <x:f>E10-AVERAGE($E$8:$E$15)</x:f>
        <x:v>0.4375</x:v>
      </x:c>
      <x:c r="H10" s="3" t="n">
        <x:f>C10-AVERAGE($C$8:$C$15)</x:f>
        <x:v>0.022500000000000853</x:v>
      </x:c>
      <x:c r="I10" s="3"/>
      <x:c r="J10" s="3"/>
      <x:c r="K10" s="3"/>
      <x:c r="L10" s="3"/>
    </x:row>
    <x:row r="11" ht="20" customHeight="1">
      <x:c r="A11" s="12" t="n">
        <x:v>4</x:v>
      </x:c>
      <x:c r="B11" s="12" t="n">
        <x:v>16500</x:v>
      </x:c>
      <x:c r="C11" s="3" t="n">
        <x:v>10.3</x:v>
      </x:c>
      <x:c r="D11" s="3" t="n">
        <x:f>(B11-16000)/1000</x:f>
        <x:v>0.5</x:v>
      </x:c>
      <x:c r="E11" s="3" t="n">
        <x:f>D11^2</x:f>
        <x:v>0.25</x:v>
      </x:c>
      <x:c r="F11" s="3" t="n">
        <x:f>D11-AVERAGE($D$8:$D$15)</x:f>
        <x:v>0.25</x:v>
      </x:c>
      <x:c r="G11" s="3" t="n">
        <x:f>E11-AVERAGE($E$8:$E$15)</x:f>
        <x:v>-0.3125</x:v>
      </x:c>
      <x:c r="H11" s="3" t="n">
        <x:f>C11-AVERAGE($C$8:$C$15)</x:f>
        <x:v>-0.8674999999999979</x:v>
      </x:c>
      <x:c r="I11" s="3"/>
      <x:c r="J11" s="3"/>
      <x:c r="K11" s="3"/>
      <x:c r="L11" s="3"/>
    </x:row>
    <x:row r="12" ht="20" customHeight="1">
      <x:c r="A12" s="12" t="n">
        <x:v>6</x:v>
      </x:c>
      <x:c r="B12" s="12" t="n">
        <x:v>16000</x:v>
      </x:c>
      <x:c r="C12" s="3" t="n">
        <x:v>9.75</x:v>
      </x:c>
      <x:c r="D12" s="3" t="n">
        <x:f>(B12-16000)/1000</x:f>
        <x:v>0</x:v>
      </x:c>
      <x:c r="E12" s="3" t="n">
        <x:f>D12^2</x:f>
        <x:v>0</x:v>
      </x:c>
      <x:c r="F12" s="3" t="n">
        <x:f>D12-AVERAGE($D$8:$D$15)</x:f>
        <x:v>-0.25</x:v>
      </x:c>
      <x:c r="G12" s="3" t="n">
        <x:f>E12-AVERAGE($E$8:$E$15)</x:f>
        <x:v>-0.5625</x:v>
      </x:c>
      <x:c r="H12" s="3" t="n">
        <x:f>C12-AVERAGE($C$8:$C$15)</x:f>
        <x:v>-1.4174999999999986</x:v>
      </x:c>
      <x:c r="I12" s="3"/>
      <x:c r="J12" s="3"/>
      <x:c r="K12" s="3"/>
      <x:c r="L12" s="3"/>
    </x:row>
    <x:row r="13" ht="20" customHeight="1">
      <x:c r="A13" s="12" t="n">
        <x:v>7</x:v>
      </x:c>
      <x:c r="B13" s="12" t="n">
        <x:v>16000</x:v>
      </x:c>
      <x:c r="C13" s="3" t="n">
        <x:v>10.68</x:v>
      </x:c>
      <x:c r="D13" s="3" t="n">
        <x:f>(B13-16000)/1000</x:f>
        <x:v>0</x:v>
      </x:c>
      <x:c r="E13" s="3" t="n">
        <x:f>D13^2</x:f>
        <x:v>0</x:v>
      </x:c>
      <x:c r="F13" s="3" t="n">
        <x:f>D13-AVERAGE($D$8:$D$15)</x:f>
        <x:v>-0.25</x:v>
      </x:c>
      <x:c r="G13" s="3" t="n">
        <x:f>E13-AVERAGE($E$8:$E$15)</x:f>
        <x:v>-0.5625</x:v>
      </x:c>
      <x:c r="H13" s="3" t="n">
        <x:f>C13-AVERAGE($C$8:$C$15)</x:f>
        <x:v>-0.48749999999999893</x:v>
      </x:c>
      <x:c r="I13" s="3"/>
      <x:c r="J13" s="3"/>
      <x:c r="K13" s="3"/>
      <x:c r="L13" s="3"/>
    </x:row>
    <x:row r="14" ht="20" customHeight="1">
      <x:c r="A14" s="12" t="n">
        <x:v>8</x:v>
      </x:c>
      <x:c r="B14" s="12" t="n">
        <x:v>15500</x:v>
      </x:c>
      <x:c r="C14" s="3" t="n">
        <x:v>10.72</x:v>
      </x:c>
      <x:c r="D14" s="3" t="n">
        <x:f>(B14-16000)/1000</x:f>
        <x:v>-0.5</x:v>
      </x:c>
      <x:c r="E14" s="3" t="n">
        <x:f>D14^2</x:f>
        <x:v>0.25</x:v>
      </x:c>
      <x:c r="F14" s="3" t="n">
        <x:f>D14-AVERAGE($D$8:$D$15)</x:f>
        <x:v>-0.75</x:v>
      </x:c>
      <x:c r="G14" s="3" t="n">
        <x:f>E14-AVERAGE($E$8:$E$15)</x:f>
        <x:v>-0.3125</x:v>
      </x:c>
      <x:c r="H14" s="3" t="n">
        <x:f>C14-AVERAGE($C$8:$C$15)</x:f>
        <x:v>-0.447499999999998</x:v>
      </x:c>
      <x:c r="I14" s="3"/>
      <x:c r="J14" s="3"/>
      <x:c r="K14" s="3"/>
      <x:c r="L14" s="3"/>
    </x:row>
    <x:row r="15" ht="20" customHeight="1">
      <x:c r="A15" s="12" t="n">
        <x:v>9</x:v>
      </x:c>
      <x:c r="B15" s="12" t="n">
        <x:v>15000</x:v>
      </x:c>
      <x:c r="C15" s="3" t="n">
        <x:v>12.74</x:v>
      </x:c>
      <x:c r="D15" s="3" t="n">
        <x:f>(B15-16000)/1000</x:f>
        <x:v>-1</x:v>
      </x:c>
      <x:c r="E15" s="3" t="n">
        <x:f>D15^2</x:f>
        <x:v>1</x:v>
      </x:c>
      <x:c r="F15" s="3" t="n">
        <x:f>D15-AVERAGE($D$8:$D$15)</x:f>
        <x:v>-1.25</x:v>
      </x:c>
      <x:c r="G15" s="3" t="n">
        <x:f>E15-AVERAGE($E$8:$E$15)</x:f>
        <x:v>0.4375</x:v>
      </x:c>
      <x:c r="H15" s="3" t="n">
        <x:f>C15-AVERAGE($C$8:$C$15)</x:f>
        <x:v>1.5725000000000016</x:v>
      </x:c>
      <x:c r="I15" s="3"/>
      <x:c r="J15" s="3"/>
      <x:c r="K15" s="3"/>
      <x:c r="L15" s="3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0" customHeight="1">
      <x:c r="A18" s="3" t="str">
        <x:v>Mean FWHM at 16000 (pix)</x:v>
      </x:c>
      <x:c r="B18" s="3"/>
      <x:c r="C18" s="3"/>
      <x:c r="D18" s="6" t="n">
        <x:f>AVERAGE(C12:C13)</x:f>
        <x:v>10.215</x:v>
      </x:c>
      <x:c r="E18" s="3"/>
      <x:c r="F18" s="3"/>
      <x:c r="G18" s="3"/>
      <x:c r="H18" s="3"/>
      <x:c r="I18" s="3"/>
      <x:c r="J18" s="3"/>
      <x:c r="K18" s="3"/>
      <x:c r="L18" s="3"/>
    </x:row>
    <x:row r="19" ht="20" customHeight="1">
      <x:c r="A19" s="3" t="str">
        <x:v>Sample SD at 16000 (pix)</x:v>
      </x:c>
      <x:c r="B19" s="3"/>
      <x:c r="C19" s="3"/>
      <x:c r="D19" s="6" t="n">
        <x:f>STDEV(C12:C13)</x:f>
        <x:v>0.657609306503489</x:v>
      </x:c>
      <x:c r="E19" s="3"/>
      <x:c r="F19" s="3"/>
      <x:c r="G19" s="3"/>
      <x:c r="H19" s="3"/>
      <x:c r="I19" s="3"/>
      <x:c r="J19" s="3"/>
      <x:c r="K19" s="3"/>
      <x:c r="L19" s="3"/>
    </x:row>
    <x:row r="20" ht="20" customHeight="1">
      <x:c r="A20" s="3" t="str">
        <x:v>Mean FWHM at 17000 (pix)</x:v>
      </x:c>
      <x:c r="B20" s="3"/>
      <x:c r="C20" s="3"/>
      <x:c r="D20" s="6" t="n">
        <x:f>AVERAGE(C8:C10)</x:f>
        <x:v>11.716666666666667</x:v>
      </x:c>
      <x:c r="E20" s="3"/>
      <x:c r="F20" s="3"/>
      <x:c r="G20" s="3"/>
      <x:c r="H20" s="3"/>
      <x:c r="I20" s="3"/>
      <x:c r="J20" s="3"/>
      <x:c r="K20" s="3"/>
      <x:c r="L20" s="3"/>
    </x:row>
    <x:row r="21" ht="20" customHeight="1">
      <x:c r="A21" s="3" t="str">
        <x:v>Sample SD at 17000 (pix)</x:v>
      </x:c>
      <x:c r="B21" s="3"/>
      <x:c r="C21" s="3"/>
      <x:c r="D21" s="6" t="n">
        <x:f>STDEV(C8:C10)</x:f>
        <x:v>0.6268439465555471</x:v>
      </x:c>
      <x:c r="E21" s="3"/>
      <x:c r="F21" s="3"/>
      <x:c r="G21" s="3"/>
      <x:c r="H21" s="3"/>
      <x:c r="I21" s="3"/>
      <x:c r="J21" s="3"/>
      <x:c r="K21" s="3"/>
      <x:c r="L21" s="3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0" customHeight="1">
      <x:c r="A24" s="3" t="str">
        <x:v>Sum x centered squared</x:v>
      </x:c>
      <x:c r="B24" s="3"/>
      <x:c r="C24" s="3"/>
      <x:c r="D24" s="6" t="n">
        <x:f>SUMSQ(F8:F15)</x:f>
        <x:v>4</x:v>
      </x:c>
      <x:c r="E24" s="3"/>
      <x:c r="F24" s="3"/>
      <x:c r="G24" s="3"/>
      <x:c r="H24" s="3"/>
      <x:c r="I24" s="3"/>
      <x:c r="J24" s="3"/>
      <x:c r="K24" s="3"/>
      <x:c r="L24" s="3"/>
    </x:row>
    <x:row r="25" ht="20" customHeight="1">
      <x:c r="A25" s="3" t="str">
        <x:v>Sum x2 centered squared</x:v>
      </x:c>
      <x:c r="B25" s="3"/>
      <x:c r="C25" s="3"/>
      <x:c r="D25" s="6" t="n">
        <x:f>SUMSQ(G8:G15)</x:f>
        <x:v>1.59375</x:v>
      </x:c>
      <x:c r="E25" s="3"/>
      <x:c r="F25" s="3"/>
      <x:c r="G25" s="3"/>
      <x:c r="H25" s="3"/>
      <x:c r="I25" s="3"/>
      <x:c r="J25" s="3"/>
      <x:c r="K25" s="3"/>
      <x:c r="L25" s="3"/>
    </x:row>
    <x:row r="26" ht="20" customHeight="1">
      <x:c r="A26" s="3" t="str">
        <x:v>Sum centered x*x2</x:v>
      </x:c>
      <x:c r="B26" s="3"/>
      <x:c r="C26" s="3"/>
      <x:c r="D26" s="6" t="n">
        <x:f>SUMPRODUCT(F8:F15,G8:G15)</x:f>
        <x:v>0.875</x:v>
      </x:c>
      <x:c r="E26" s="3"/>
      <x:c r="F26" s="3"/>
      <x:c r="G26" s="3"/>
      <x:c r="H26" s="3"/>
      <x:c r="I26" s="3"/>
      <x:c r="J26" s="3"/>
      <x:c r="K26" s="3"/>
      <x:c r="L26" s="3"/>
    </x:row>
    <x:row r="27" ht="20" customHeight="1">
      <x:c r="A27" s="3" t="str">
        <x:v>Sum centered x*width</x:v>
      </x:c>
      <x:c r="B27" s="3"/>
      <x:c r="C27" s="3"/>
      <x:c r="D27" s="6" t="n">
        <x:f>SUMPRODUCT(F8:F15,H8:H15)</x:f>
        <x:v>-0.13500000000000023</x:v>
      </x:c>
      <x:c r="E27" s="3"/>
      <x:c r="F27" s="3"/>
      <x:c r="G27" s="3"/>
      <x:c r="H27" s="3"/>
      <x:c r="I27" s="3"/>
      <x:c r="J27" s="3"/>
      <x:c r="K27" s="3"/>
      <x:c r="L27" s="3"/>
    </x:row>
    <x:row r="28" ht="20" customHeight="1">
      <x:c r="A28" s="3" t="str">
        <x:v>Sum centered x2*width</x:v>
      </x:c>
      <x:c r="B28" s="3"/>
      <x:c r="C28" s="3"/>
      <x:c r="D28" s="6" t="n">
        <x:f>SUMPRODUCT(G8:G15,H8:H15)</x:f>
        <x:v>2.8912500000000003</x:v>
      </x:c>
      <x:c r="E28" s="3"/>
      <x:c r="F28" s="3"/>
      <x:c r="G28" s="3"/>
      <x:c r="H28" s="3"/>
      <x:c r="I28" s="3"/>
      <x:c r="J28" s="3"/>
      <x:c r="K28" s="3"/>
      <x:c r="L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0" customHeight="1">
      <x:c r="A30" s="3" t="str">
        <x:v>Quadratic coefficient a</x:v>
      </x:c>
      <x:c r="B30" s="3"/>
      <x:c r="C30" s="3"/>
      <x:c r="D30" s="6" t="n">
        <x:f>(D28*D24-D27*D26)/(D25*D24-D26^2)</x:f>
        <x:v>2.0827855153203347</x:v>
      </x:c>
      <x:c r="E30" s="3"/>
      <x:c r="F30" s="3"/>
      <x:c r="G30" s="3"/>
      <x:c r="H30" s="3"/>
      <x:c r="I30" s="3"/>
      <x:c r="J30" s="3"/>
      <x:c r="K30" s="3"/>
      <x:c r="L30" s="3"/>
    </x:row>
    <x:row r="31" ht="20" customHeight="1">
      <x:c r="A31" s="3" t="str">
        <x:v>Linear coefficient b</x:v>
      </x:c>
      <x:c r="B31" s="3"/>
      <x:c r="C31" s="3"/>
      <x:c r="D31" s="6" t="n">
        <x:f>(D27-D30*D26)/D24</x:f>
        <x:v>-0.48935933147632327</x:v>
      </x:c>
      <x:c r="E31" s="3"/>
      <x:c r="F31" s="3"/>
      <x:c r="G31" s="3"/>
      <x:c r="H31" s="3"/>
      <x:c r="I31" s="3"/>
      <x:c r="J31" s="3"/>
      <x:c r="K31" s="3"/>
      <x:c r="L31" s="3"/>
    </x:row>
    <x:row r="32" ht="20" customHeight="1">
      <x:c r="A32" s="3" t="str">
        <x:v>Constant c</x:v>
      </x:c>
      <x:c r="B32" s="3"/>
      <x:c r="C32" s="3"/>
      <x:c r="D32" s="6" t="n">
        <x:f>AVERAGE(C8:C15)-D30*AVERAGE(E8:E15)-D31*AVERAGE(D8:D15)</x:f>
        <x:v>10.118272980501391</x:v>
      </x:c>
      <x:c r="E32" s="3"/>
      <x:c r="F32" s="3"/>
      <x:c r="G32" s="3"/>
      <x:c r="H32" s="3"/>
      <x:c r="I32" s="3"/>
      <x:c r="J32" s="3"/>
      <x:c r="K32" s="3"/>
      <x:c r="L32" s="3"/>
    </x:row>
    <x:row r="33" ht="20" customHeight="1">
      <x:c r="A33" s="3" t="str">
        <x:v>Quadratic minimum (micron)</x:v>
      </x:c>
      <x:c r="B33" s="3"/>
      <x:c r="C33" s="3"/>
      <x:c r="D33" s="13" t="n">
        <x:f>16000-1000*D31/(2*D30)</x:f>
        <x:v>16117.47713047665</x:v>
      </x:c>
      <x:c r="E33" s="3"/>
      <x:c r="F33" s="3"/>
      <x:c r="G33" s="3"/>
      <x:c r="H33" s="3"/>
      <x:c r="I33" s="3"/>
      <x:c r="J33" s="3"/>
      <x:c r="K33" s="3"/>
      <x:c r="L33" s="3"/>
    </x:row>
    <x:row r="34" ht="2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0" customHeight="1">
      <x:c r="A35" s="3" t="str">
        <x:v>Adopted focus is approximately 16000 microns. Nonlinear cores and repeat scatter limit the descriptive fit.</x:v>
      </x:c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2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 ht="2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 ht="2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2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 ht="2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2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2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2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</x:sheetData>
  <x:pageMargins left="0.7" right="0.7" top="0.75" bottom="0.75" header="0.3" footer="0.3"/>
  <x:drawing xmlns:r="http://schemas.openxmlformats.org/officeDocument/2006/relationships" r:id="Rb84c00b8f25d4651"/>
</x:worksheet>
</file>

<file path=xl/worksheets/sheet5.xml><?xml version="1.0" encoding="utf-8"?>
<x:worksheet xmlns:x="http://schemas.openxmlformats.org/spreadsheetml/2006/main">
  <x:sheetViews>
    <x:sheetView showGridLines="1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7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0" customHeight="1">
      <x:c r="A2" s="4" t="str">
        <x:v>Exercise C: Single-frame repeatability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0" customHeight="1">
      <x:c r="A4" s="5" t="str">
        <x:v>Sources: ogma.csv (first 15 rows) and field_star_pixel_measurements.csv.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34" customHeight="1">
      <x:c r="A7" s="7" t="str">
        <x:v>Frame</x:v>
      </x:c>
      <x:c r="B7" s="7" t="str">
        <x:v>Time (s)</x:v>
      </x:c>
      <x:c r="C7" s="7" t="str">
        <x:v>Ogma net DN</x:v>
      </x:c>
      <x:c r="D7" s="7" t="str">
        <x:v>AIJ error DN</x:v>
      </x:c>
      <x:c r="E7" s="7" t="str">
        <x:v>Rate DN/s</x:v>
      </x:c>
      <x:c r="F7" s="7" t="str">
        <x:v>Fractional deviation</x:v>
      </x:c>
      <x:c r="G7" s="7" t="str">
        <x:v>Formal fraction</x:v>
      </x:c>
      <x:c r="H7" s="3"/>
      <x:c r="I7" s="3"/>
      <x:c r="J7" s="3"/>
      <x:c r="K7" s="3"/>
      <x:c r="L7" s="3"/>
      <x:c r="M7" s="3"/>
    </x:row>
    <x:row r="8" ht="20" customHeight="1">
      <x:c r="A8" s="12" t="n">
        <x:v>1</x:v>
      </x:c>
      <x:c r="B8" s="3" t="n">
        <x:v>8</x:v>
      </x:c>
      <x:c r="C8" s="3" t="n">
        <x:v>1627759.4351499167</x:v>
      </x:c>
      <x:c r="D8" s="3" t="n">
        <x:v>1717.8248750343407</x:v>
      </x:c>
      <x:c r="E8" s="3" t="n">
        <x:f>C8/B8</x:f>
        <x:v>203469.92939373959</x:v>
      </x:c>
      <x:c r="F8" s="16" t="n">
        <x:f>(E8-$D$25)/$D$25</x:f>
        <x:v>0.01942727415486554</x:v>
      </x:c>
      <x:c r="G8" s="16" t="n">
        <x:f>D8/C8</x:f>
        <x:v>0.0010553309278628932</x:v>
      </x:c>
      <x:c r="H8" s="3"/>
      <x:c r="I8" s="3"/>
      <x:c r="J8" s="3"/>
      <x:c r="K8" s="3"/>
      <x:c r="L8" s="3"/>
      <x:c r="M8" s="3"/>
    </x:row>
    <x:row r="9" ht="20" customHeight="1">
      <x:c r="A9" s="12" t="n">
        <x:v>2</x:v>
      </x:c>
      <x:c r="B9" s="3" t="n">
        <x:v>8</x:v>
      </x:c>
      <x:c r="C9" s="3" t="n">
        <x:v>1715683.7988411854</x:v>
      </x:c>
      <x:c r="D9" s="3" t="n">
        <x:v>1743.1707163845224</x:v>
      </x:c>
      <x:c r="E9" s="3" t="n">
        <x:f>C9/B9</x:f>
        <x:v>214460.47485514818</x:v>
      </x:c>
      <x:c r="F9" s="16" t="n">
        <x:f>(E9-$D$25)/$D$25</x:f>
        <x:v>0.07449222569135346</x:v>
      </x:c>
      <x:c r="G9" s="16" t="n">
        <x:f>D9/C9</x:f>
        <x:v>0.0010160209693428955</x:v>
      </x:c>
      <x:c r="H9" s="3"/>
      <x:c r="I9" s="3"/>
      <x:c r="J9" s="3"/>
      <x:c r="K9" s="3"/>
      <x:c r="L9" s="3"/>
      <x:c r="M9" s="3"/>
    </x:row>
    <x:row r="10" ht="20" customHeight="1">
      <x:c r="A10" s="12" t="n">
        <x:v>3</x:v>
      </x:c>
      <x:c r="B10" s="3" t="n">
        <x:v>8</x:v>
      </x:c>
      <x:c r="C10" s="3" t="n">
        <x:v>1613490.5825459233</x:v>
      </x:c>
      <x:c r="D10" s="3" t="n">
        <x:v>1713.4261798816128</x:v>
      </x:c>
      <x:c r="E10" s="3" t="n">
        <x:f>C10/B10</x:f>
        <x:v>201686.3228182404</x:v>
      </x:c>
      <x:c r="F10" s="16" t="n">
        <x:f>(E10-$D$25)/$D$25</x:f>
        <x:v>0.010491028907995364</x:v>
      </x:c>
      <x:c r="G10" s="16" t="n">
        <x:f>D10/C10</x:f>
        <x:v>0.0010619375151096335</x:v>
      </x:c>
      <x:c r="H10" s="3"/>
      <x:c r="I10" s="3"/>
      <x:c r="J10" s="3"/>
      <x:c r="K10" s="3"/>
      <x:c r="L10" s="3"/>
      <x:c r="M10" s="3"/>
    </x:row>
    <x:row r="11" ht="20" customHeight="1">
      <x:c r="A11" s="12" t="n">
        <x:v>4</x:v>
      </x:c>
      <x:c r="B11" s="3" t="n">
        <x:v>8</x:v>
      </x:c>
      <x:c r="C11" s="3" t="n">
        <x:v>1649738.6636211043</x:v>
      </x:c>
      <x:c r="D11" s="3" t="n">
        <x:v>1724.207168463711</x:v>
      </x:c>
      <x:c r="E11" s="3" t="n">
        <x:f>C11/B11</x:f>
        <x:v>206217.33295263804</x:v>
      </x:c>
      <x:c r="F11" s="16" t="n">
        <x:f>(E11-$D$25)/$D$25</x:f>
        <x:v>0.03319234562953723</x:v>
      </x:c>
      <x:c r="G11" s="16" t="n">
        <x:f>D11/C11</x:f>
        <x:v>0.0010451395766400671</x:v>
      </x:c>
      <x:c r="H11" s="3"/>
      <x:c r="I11" s="3"/>
      <x:c r="J11" s="3"/>
      <x:c r="K11" s="3"/>
      <x:c r="L11" s="3"/>
      <x:c r="M11" s="3"/>
    </x:row>
    <x:row r="12" ht="20" customHeight="1">
      <x:c r="A12" s="12" t="n">
        <x:v>5</x:v>
      </x:c>
      <x:c r="B12" s="3" t="n">
        <x:v>8</x:v>
      </x:c>
      <x:c r="C12" s="3" t="n">
        <x:v>1652172.5841770647</x:v>
      </x:c>
      <x:c r="D12" s="3" t="n">
        <x:v>1725.2191513187015</x:v>
      </x:c>
      <x:c r="E12" s="3" t="n">
        <x:f>C12/B12</x:f>
        <x:v>206521.5730221331</x:v>
      </x:c>
      <x:c r="F12" s="16" t="n">
        <x:f>(E12-$D$25)/$D$25</x:f>
        <x:v>0.034716652565988</x:v>
      </x:c>
      <x:c r="G12" s="16" t="n">
        <x:f>D12/C12</x:f>
        <x:v>0.0010442124314621894</x:v>
      </x:c>
      <x:c r="H12" s="3"/>
      <x:c r="I12" s="3"/>
      <x:c r="J12" s="3"/>
      <x:c r="K12" s="3"/>
      <x:c r="L12" s="3"/>
      <x:c r="M12" s="3"/>
    </x:row>
    <x:row r="13" ht="20" customHeight="1">
      <x:c r="A13" s="12" t="n">
        <x:v>6</x:v>
      </x:c>
      <x:c r="B13" s="3" t="n">
        <x:v>8</x:v>
      </x:c>
      <x:c r="C13" s="3" t="n">
        <x:v>1790931.408138526</x:v>
      </x:c>
      <x:c r="D13" s="3" t="n">
        <x:v>1764.8976921222597</x:v>
      </x:c>
      <x:c r="E13" s="3" t="n">
        <x:f>C13/B13</x:f>
        <x:v>223866.42601731574</x:v>
      </x:c>
      <x:c r="F13" s="16" t="n">
        <x:f>(E13-$D$25)/$D$25</x:f>
        <x:v>0.12161802547244531</x:v>
      </x:c>
      <x:c r="G13" s="16" t="n">
        <x:f>D13/C13</x:f>
        <x:v>0.0009854635884445596</x:v>
      </x:c>
      <x:c r="H13" s="3"/>
      <x:c r="I13" s="3"/>
      <x:c r="J13" s="3"/>
      <x:c r="K13" s="3"/>
      <x:c r="L13" s="3"/>
      <x:c r="M13" s="3"/>
    </x:row>
    <x:row r="14" ht="20" customHeight="1">
      <x:c r="A14" s="12" t="n">
        <x:v>7</x:v>
      </x:c>
      <x:c r="B14" s="3" t="n">
        <x:v>8</x:v>
      </x:c>
      <x:c r="C14" s="3" t="n">
        <x:v>1483728.9036090234</x:v>
      </x:c>
      <x:c r="D14" s="3" t="n">
        <x:v>1672.8778550993522</x:v>
      </x:c>
      <x:c r="E14" s="3" t="n">
        <x:f>C14/B14</x:f>
        <x:v>185466.11295112793</x:v>
      </x:c>
      <x:c r="F14" s="16" t="n">
        <x:f>(E14-$D$25)/$D$25</x:f>
        <x:v>-0.07077564465069265</x:v>
      </x:c>
      <x:c r="G14" s="16" t="n">
        <x:f>D14/C14</x:f>
        <x:v>0.0011274821505668877</x:v>
      </x:c>
      <x:c r="H14" s="3"/>
      <x:c r="I14" s="3"/>
      <x:c r="J14" s="3"/>
      <x:c r="K14" s="3"/>
      <x:c r="L14" s="3"/>
      <x:c r="M14" s="3"/>
    </x:row>
    <x:row r="15" ht="20" customHeight="1">
      <x:c r="A15" s="12" t="n">
        <x:v>8</x:v>
      </x:c>
      <x:c r="B15" s="3" t="n">
        <x:v>8</x:v>
      </x:c>
      <x:c r="C15" s="3" t="n">
        <x:v>1554319.4994025081</x:v>
      </x:c>
      <x:c r="D15" s="3" t="n">
        <x:v>1693.942101320772</x:v>
      </x:c>
      <x:c r="E15" s="3" t="n">
        <x:f>C15/B15</x:f>
        <x:v>194289.93742531352</x:v>
      </x:c>
      <x:c r="F15" s="16" t="n">
        <x:f>(E15-$D$25)/$D$25</x:f>
        <x:v>-0.026566422392925587</x:v>
      </x:c>
      <x:c r="G15" s="16" t="n">
        <x:f>D15/C15</x:f>
        <x:v>0.0010898287655607074</x:v>
      </x:c>
      <x:c r="H15" s="3"/>
      <x:c r="I15" s="3"/>
      <x:c r="J15" s="3"/>
      <x:c r="K15" s="3"/>
      <x:c r="L15" s="3"/>
      <x:c r="M15" s="3"/>
    </x:row>
    <x:row r="16" ht="20" customHeight="1">
      <x:c r="A16" s="12" t="n">
        <x:v>9</x:v>
      </x:c>
      <x:c r="B16" s="3" t="n">
        <x:v>8</x:v>
      </x:c>
      <x:c r="C16" s="3" t="n">
        <x:v>1497957.2824514648</x:v>
      </x:c>
      <x:c r="D16" s="3" t="n">
        <x:v>1677.3013890045588</x:v>
      </x:c>
      <x:c r="E16" s="3" t="n">
        <x:f>C16/B16</x:f>
        <x:v>187244.6603064331</x:v>
      </x:c>
      <x:c r="F16" s="16" t="n">
        <x:f>(E16-$D$25)/$D$25</x:f>
        <x:v>-0.061864747164383886</x:v>
      </x:c>
      <x:c r="G16" s="16" t="n">
        <x:f>D16/C16</x:f>
        <x:v>0.0011197257816722187</x:v>
      </x:c>
      <x:c r="H16" s="3"/>
      <x:c r="I16" s="3"/>
      <x:c r="J16" s="3"/>
      <x:c r="K16" s="3"/>
      <x:c r="L16" s="3"/>
      <x:c r="M16" s="3"/>
    </x:row>
    <x:row r="17" ht="20" customHeight="1">
      <x:c r="A17" s="12" t="n">
        <x:v>10</x:v>
      </x:c>
      <x:c r="B17" s="3" t="n">
        <x:v>8</x:v>
      </x:c>
      <x:c r="C17" s="3" t="n">
        <x:v>1475539.9413818377</x:v>
      </x:c>
      <x:c r="D17" s="3" t="n">
        <x:v>1670.7009773876323</x:v>
      </x:c>
      <x:c r="E17" s="3" t="n">
        <x:f>C17/B17</x:f>
        <x:v>184442.4926727297</x:v>
      </x:c>
      <x:c r="F17" s="16" t="n">
        <x:f>(E17-$D$25)/$D$25</x:f>
        <x:v>-0.07590419820790072</x:v>
      </x:c>
      <x:c r="G17" s="16" t="n">
        <x:f>D17/C17</x:f>
        <x:v>0.001132264149910457</x:v>
      </x:c>
      <x:c r="H17" s="3"/>
      <x:c r="I17" s="3"/>
      <x:c r="J17" s="3"/>
      <x:c r="K17" s="3"/>
      <x:c r="L17" s="3"/>
      <x:c r="M17" s="3"/>
    </x:row>
    <x:row r="18" ht="20" customHeight="1">
      <x:c r="A18" s="12" t="n">
        <x:v>11</x:v>
      </x:c>
      <x:c r="B18" s="3" t="n">
        <x:v>8</x:v>
      </x:c>
      <x:c r="C18" s="3" t="n">
        <x:v>1587613.0055117288</x:v>
      </x:c>
      <x:c r="D18" s="3" t="n">
        <x:v>1703.9660520453704</x:v>
      </x:c>
      <x:c r="E18" s="3" t="n">
        <x:f>C18/B18</x:f>
        <x:v>198451.6256889661</x:v>
      </x:c>
      <x:c r="F18" s="16" t="n">
        <x:f>(E18-$D$25)/$D$25</x:f>
        <x:v>-0.005715486162993495</x:v>
      </x:c>
      <x:c r="G18" s="16" t="n">
        <x:f>D18/C18</x:f>
        <x:v>0.0010732880406810084</x:v>
      </x:c>
      <x:c r="H18" s="3"/>
      <x:c r="I18" s="3"/>
      <x:c r="J18" s="3"/>
      <x:c r="K18" s="3"/>
      <x:c r="L18" s="3"/>
      <x:c r="M18" s="3"/>
    </x:row>
    <x:row r="19" ht="20" customHeight="1">
      <x:c r="A19" s="12" t="n">
        <x:v>12</x:v>
      </x:c>
      <x:c r="B19" s="3" t="n">
        <x:v>8</x:v>
      </x:c>
      <x:c r="C19" s="3" t="n">
        <x:v>1472873.0974187471</x:v>
      </x:c>
      <x:c r="D19" s="3" t="n">
        <x:v>1670.4567443474382</x:v>
      </x:c>
      <x:c r="E19" s="3" t="n">
        <x:f>C19/B19</x:f>
        <x:v>184109.1371773434</x:v>
      </x:c>
      <x:c r="F19" s="16" t="n">
        <x:f>(E19-$D$25)/$D$25</x:f>
        <x:v>-0.07757437957081162</x:v>
      </x:c>
      <x:c r="G19" s="16" t="n">
        <x:f>D19/C19</x:f>
        <x:v>0.0011341484526229463</x:v>
      </x:c>
      <x:c r="H19" s="3"/>
      <x:c r="I19" s="3"/>
      <x:c r="J19" s="3"/>
      <x:c r="K19" s="3"/>
      <x:c r="L19" s="3"/>
      <x:c r="M19" s="3"/>
    </x:row>
    <x:row r="20" ht="20" customHeight="1">
      <x:c r="A20" s="12" t="n">
        <x:v>13</x:v>
      </x:c>
      <x:c r="B20" s="3" t="n">
        <x:v>8</x:v>
      </x:c>
      <x:c r="C20" s="3" t="n">
        <x:v>1545782.8939961407</x:v>
      </x:c>
      <x:c r="D20" s="3" t="n">
        <x:v>1692.204231471827</x:v>
      </x:c>
      <x:c r="E20" s="3" t="n">
        <x:f>C20/B20</x:f>
        <x:v>193222.8617495176</x:v>
      </x:c>
      <x:c r="F20" s="16" t="n">
        <x:f>(E20-$D$25)/$D$25</x:f>
        <x:v>-0.03191269665927463</x:v>
      </x:c>
      <x:c r="G20" s="16" t="n">
        <x:f>D20/C20</x:f>
        <x:v>0.0010947230934204217</x:v>
      </x:c>
      <x:c r="H20" s="3"/>
      <x:c r="I20" s="3"/>
      <x:c r="J20" s="3"/>
      <x:c r="K20" s="3"/>
      <x:c r="L20" s="3"/>
      <x:c r="M20" s="3"/>
    </x:row>
    <x:row r="21" ht="20" customHeight="1">
      <x:c r="A21" s="12" t="n">
        <x:v>14</x:v>
      </x:c>
      <x:c r="B21" s="3" t="n">
        <x:v>8</x:v>
      </x:c>
      <x:c r="C21" s="3" t="n">
        <x:v>1796475.0380109109</x:v>
      </x:c>
      <x:c r="D21" s="3" t="n">
        <x:v>1764.9080451159018</x:v>
      </x:c>
      <x:c r="E21" s="3" t="n">
        <x:f>C21/B21</x:f>
        <x:v>224559.37975136386</x:v>
      </x:c>
      <x:c r="F21" s="16" t="n">
        <x:f>(E21-$D$25)/$D$25</x:f>
        <x:v>0.1250898698787463</x:v>
      </x:c>
      <x:c r="G21" s="16" t="n">
        <x:f>D21/C21</x:f>
        <x:v>0.0009824283709892454</x:v>
      </x:c>
      <x:c r="H21" s="3"/>
      <x:c r="I21" s="3"/>
      <x:c r="J21" s="3"/>
      <x:c r="K21" s="3"/>
      <x:c r="L21" s="3"/>
      <x:c r="M21" s="3"/>
    </x:row>
    <x:row r="22" ht="20" customHeight="1">
      <x:c r="A22" s="12" t="n">
        <x:v>15</x:v>
      </x:c>
      <x:c r="B22" s="3" t="n">
        <x:v>8</x:v>
      </x:c>
      <x:c r="C22" s="3" t="n">
        <x:v>1487021.055843513</x:v>
      </x:c>
      <x:c r="D22" s="3" t="n">
        <x:v>1674.7467829748302</x:v>
      </x:c>
      <x:c r="E22" s="3" t="n">
        <x:f>C22/B22</x:f>
        <x:v>185877.63198043912</x:v>
      </x:c>
      <x:c r="F22" s="16" t="n">
        <x:f>(E22-$D$25)/$D$25</x:f>
        <x:v>-0.06871384749195006</x:v>
      </x:c>
      <x:c r="G22" s="16" t="n">
        <x:f>D22/C22</x:f>
        <x:v>0.0011262428170694797</x:v>
      </x:c>
      <x:c r="H22" s="3"/>
      <x:c r="I22" s="3"/>
      <x:c r="J22" s="3"/>
      <x:c r="K22" s="3"/>
      <x:c r="L22" s="3"/>
      <x:c r="M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20" customHeight="1">
      <x:c r="A25" s="3" t="str">
        <x:v>Ogma mean rate (DN/s)</x:v>
      </x:c>
      <x:c r="B25" s="3"/>
      <x:c r="C25" s="3"/>
      <x:c r="D25" s="15" t="n">
        <x:f>AVERAGE(E8:E22)</x:f>
        <x:v>199592.39325082998</x:v>
      </x:c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20" customHeight="1">
      <x:c r="A26" s="3" t="str">
        <x:v>Sample SD (DN/s)</x:v>
      </x:c>
      <x:c r="B26" s="3"/>
      <x:c r="C26" s="3"/>
      <x:c r="D26" s="15" t="n">
        <x:f>STDEV(E8:E22)</x:f>
        <x:v>13691.274919724186</x:v>
      </x:c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20" customHeight="1">
      <x:c r="A27" s="3" t="str">
        <x:v>Ogma fractional scatter</x:v>
      </x:c>
      <x:c r="B27" s="3"/>
      <x:c r="C27" s="3"/>
      <x:c r="D27" s="17" t="n">
        <x:f>D26/D25</x:f>
        <x:v>0.06859617591998213</x:v>
      </x:c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0" customHeight="1">
      <x:c r="A28" s="3" t="str">
        <x:v>Mean AIJ fractional error</x:v>
      </x:c>
      <x:c r="B28" s="3"/>
      <x:c r="C28" s="3"/>
      <x:c r="D28" s="19" t="n">
        <x:f>AVERAGE(G8:G22)</x:f>
        <x:v>0.0010725491087570406</x:v>
      </x:c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2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34" customHeight="1">
      <x:c r="A32" s="7" t="str">
        <x:v>Frame</x:v>
      </x:c>
      <x:c r="B32" s="7" t="str">
        <x:v>Time (s)</x:v>
      </x:c>
      <x:c r="C32" s="7" t="str">
        <x:v>Field-star net DN</x:v>
      </x:c>
      <x:c r="D32" s="7" t="str">
        <x:v>Modeled rate error</x:v>
      </x:c>
      <x:c r="E32" s="7" t="str">
        <x:v>Rate DN/s</x:v>
      </x:c>
      <x:c r="F32" s="7" t="str">
        <x:v>Fractional deviation</x:v>
      </x:c>
      <x:c r="G32" s="7" t="str">
        <x:v>Modeled fraction</x:v>
      </x:c>
      <x:c r="H32" s="7" t="str">
        <x:v>Peak DN</x:v>
      </x:c>
      <x:c r="I32" s="7" t="str">
        <x:v>Photon fraction</x:v>
      </x:c>
      <x:c r="J32" s="7" t="str">
        <x:v>Aperture pixels</x:v>
      </x:c>
      <x:c r="K32" s="7" t="str">
        <x:v>Annulus pixels</x:v>
      </x:c>
      <x:c r="L32" s="7" t="str">
        <x:v>Sky sigma DN</x:v>
      </x:c>
      <x:c r="M32" s="3"/>
    </x:row>
    <x:row r="33" ht="20" customHeight="1">
      <x:c r="A33" s="12" t="n">
        <x:v>1</x:v>
      </x:c>
      <x:c r="B33" s="3" t="n">
        <x:v>8</x:v>
      </x:c>
      <x:c r="C33" s="3" t="n">
        <x:v>87712</x:v>
      </x:c>
      <x:c r="D33" s="3" t="n">
        <x:f>SQRT(C33/'B Gain'!$D$38+J33*L33^2+PI()*J33^2*L33^2/(2*K33))/B33</x:f>
        <x:v>95.0008215833187</x:v>
      </x:c>
      <x:c r="E33" s="3" t="n">
        <x:f>C33/B33</x:f>
        <x:v>10964</x:v>
      </x:c>
      <x:c r="F33" s="16" t="n">
        <x:f>(E33-$D$50)/$D$50</x:f>
        <x:v>0.007079593181729528</x:v>
      </x:c>
      <x:c r="G33" s="16" t="n">
        <x:f>D33/E33</x:f>
        <x:v>0.008664795839412504</x:v>
      </x:c>
      <x:c r="H33" s="3" t="n">
        <x:v>8522</x:v>
      </x:c>
      <x:c r="I33" s="16" t="n">
        <x:f>1/SQRT(C33*'B Gain'!$D$38)</x:f>
        <x:v>0.0029726934692492686</x:v>
      </x:c>
      <x:c r="J33" s="3" t="n">
        <x:v>907</x:v>
      </x:c>
      <x:c r="K33" s="3" t="n">
        <x:v>10469</x:v>
      </x:c>
      <x:c r="L33" s="3" t="n">
        <x:v>22.238999999999997</x:v>
      </x:c>
      <x:c r="M33" s="3"/>
    </x:row>
    <x:row r="34" ht="20" customHeight="1">
      <x:c r="A34" s="12" t="n">
        <x:v>2</x:v>
      </x:c>
      <x:c r="B34" s="3" t="n">
        <x:v>8</x:v>
      </x:c>
      <x:c r="C34" s="3" t="n">
        <x:v>89859</x:v>
      </x:c>
      <x:c r="D34" s="3" t="n">
        <x:f>SQRT(C34/'B Gain'!$D$38+J34*L34^2+PI()*J34^2*L34^2/(2*K34))/B34</x:f>
        <x:v>100.79153530250095</x:v>
      </x:c>
      <x:c r="E34" s="3" t="n">
        <x:f>C34/B34</x:f>
        <x:v>11232.375</x:v>
      </x:c>
      <x:c r="F34" s="16" t="n">
        <x:f>(E34-$D$50)/$D$50</x:f>
        <x:v>0.031730722862516346</x:v>
      </x:c>
      <x:c r="G34" s="16" t="n">
        <x:f>D34/E34</x:f>
        <x:v>0.008973305761470833</x:v>
      </x:c>
      <x:c r="H34" s="3" t="n">
        <x:v>7127</x:v>
      </x:c>
      <x:c r="I34" s="16" t="n">
        <x:f>1/SQRT(C34*'B Gain'!$D$38)</x:f>
        <x:v>0.00293696550250689</x:v>
      </x:c>
      <x:c r="J34" s="3" t="n">
        <x:v>908</x:v>
      </x:c>
      <x:c r="K34" s="3" t="n">
        <x:v>10474</x:v>
      </x:c>
      <x:c r="L34" s="3" t="n">
        <x:v>23.7216</x:v>
      </x:c>
      <x:c r="M34" s="3"/>
    </x:row>
    <x:row r="35" ht="20" customHeight="1">
      <x:c r="A35" s="12" t="n">
        <x:v>3</x:v>
      </x:c>
      <x:c r="B35" s="3" t="n">
        <x:v>8</x:v>
      </x:c>
      <x:c r="C35" s="3" t="n">
        <x:v>87630</x:v>
      </x:c>
      <x:c r="D35" s="3" t="n">
        <x:f>SQRT(C35/'B Gain'!$D$38+J35*L35^2+PI()*J35^2*L35^2/(2*K35))/B35</x:f>
        <x:v>95.04685090891364</x:v>
      </x:c>
      <x:c r="E35" s="3" t="n">
        <x:f>C35/B35</x:f>
        <x:v>10953.75</x:v>
      </x:c>
      <x:c r="F35" s="16" t="n">
        <x:f>(E35-$D$50)/$D$50</x:f>
        <x:v>0.006138096845528075</x:v>
      </x:c>
      <x:c r="G35" s="16" t="n">
        <x:f>D35/E35</x:f>
        <x:v>0.008677106096899569</x:v>
      </x:c>
      <x:c r="H35" s="3" t="n">
        <x:v>8001</x:v>
      </x:c>
      <x:c r="I35" s="16" t="n">
        <x:f>1/SQRT(C35*'B Gain'!$D$38)</x:f>
        <x:v>0.002974083996843574</x:v>
      </x:c>
      <x:c r="J35" s="3" t="n">
        <x:v>908</x:v>
      </x:c>
      <x:c r="K35" s="3" t="n">
        <x:v>10470</x:v>
      </x:c>
      <x:c r="L35" s="3" t="n">
        <x:v>22.238999999999997</x:v>
      </x:c>
      <x:c r="M35" s="3"/>
    </x:row>
    <x:row r="36" ht="20" customHeight="1">
      <x:c r="A36" s="12" t="n">
        <x:v>4</x:v>
      </x:c>
      <x:c r="B36" s="3" t="n">
        <x:v>8</x:v>
      </x:c>
      <x:c r="C36" s="3" t="n">
        <x:v>88196</x:v>
      </x:c>
      <x:c r="D36" s="3" t="n">
        <x:f>SQRT(C36/'B Gain'!$D$38+J36*L36^2+PI()*J36^2*L36^2/(2*K36))/B36</x:f>
        <x:v>95.18484418730641</x:v>
      </x:c>
      <x:c r="E36" s="3" t="n">
        <x:f>C36/B36</x:f>
        <x:v>11024.5</x:v>
      </x:c>
      <x:c r="F36" s="16" t="n">
        <x:f>(E36-$D$50)/$D$50</x:f>
        <x:v>0.012636717897845418</x:v>
      </x:c>
      <x:c r="G36" s="16" t="n">
        <x:f>D36/E36</x:f>
        <x:v>0.00863393751982461</x:v>
      </x:c>
      <x:c r="H36" s="3" t="n">
        <x:v>7370</x:v>
      </x:c>
      <x:c r="I36" s="16" t="n">
        <x:f>1/SQRT(C36*'B Gain'!$D$38)</x:f>
        <x:v>0.0029645255080887104</x:v>
      </x:c>
      <x:c r="J36" s="3" t="n">
        <x:v>910</x:v>
      </x:c>
      <x:c r="K36" s="3" t="n">
        <x:v>10473</x:v>
      </x:c>
      <x:c r="L36" s="3" t="n">
        <x:v>22.238999999999997</x:v>
      </x:c>
      <x:c r="M36" s="3"/>
    </x:row>
    <x:row r="37" ht="20" customHeight="1">
      <x:c r="A37" s="12" t="n">
        <x:v>5</x:v>
      </x:c>
      <x:c r="B37" s="3" t="n">
        <x:v>8</x:v>
      </x:c>
      <x:c r="C37" s="3" t="n">
        <x:v>87707</x:v>
      </x:c>
      <x:c r="D37" s="3" t="n">
        <x:f>SQRT(C37/'B Gain'!$D$38+J37*L37^2+PI()*J37^2*L37^2/(2*K37))/B37</x:f>
        <x:v>100.66216150578164</x:v>
      </x:c>
      <x:c r="E37" s="3" t="n">
        <x:f>C37/B37</x:f>
        <x:v>10963.375</x:v>
      </x:c>
      <x:c r="F37" s="16" t="n">
        <x:f>(E37-$D$50)/$D$50</x:f>
        <x:v>0.0070221848685465115</x:v>
      </x:c>
      <x:c r="G37" s="16" t="n">
        <x:f>D37/E37</x:f>
        <x:v>0.009181676400358616</x:v>
      </x:c>
      <x:c r="H37" s="3" t="n">
        <x:v>7959</x:v>
      </x:c>
      <x:c r="I37" s="16" t="n">
        <x:f>1/SQRT(C37*'B Gain'!$D$38)</x:f>
        <x:v>0.0029727782016852095</x:v>
      </x:c>
      <x:c r="J37" s="3" t="n">
        <x:v>908</x:v>
      </x:c>
      <x:c r="K37" s="3" t="n">
        <x:v>10474</x:v>
      </x:c>
      <x:c r="L37" s="3" t="n">
        <x:v>23.7216</x:v>
      </x:c>
      <x:c r="M37" s="3"/>
    </x:row>
    <x:row r="38" ht="20" customHeight="1">
      <x:c r="A38" s="12" t="n">
        <x:v>6</x:v>
      </x:c>
      <x:c r="B38" s="3" t="n">
        <x:v>8</x:v>
      </x:c>
      <x:c r="C38" s="3" t="n">
        <x:v>86084</x:v>
      </x:c>
      <x:c r="D38" s="3" t="n">
        <x:f>SQRT(C38/'B Gain'!$D$38+J38*L38^2+PI()*J38^2*L38^2/(2*K38))/B38</x:f>
        <x:v>94.99959522405675</x:v>
      </x:c>
      <x:c r="E38" s="3" t="n">
        <x:f>C38/B38</x:f>
        <x:v>10760.5</x:v>
      </x:c>
      <x:c r="F38" s="16" t="n">
        <x:f>(E38-$D$50)/$D$50</x:f>
        <x:v>-0.011612553590660291</x:v>
      </x:c>
      <x:c r="G38" s="16" t="n">
        <x:f>D38/E38</x:f>
        <x:v>0.00882854841541348</x:v>
      </x:c>
      <x:c r="H38" s="3" t="n">
        <x:v>7032</x:v>
      </x:c>
      <x:c r="I38" s="16" t="n">
        <x:f>1/SQRT(C38*'B Gain'!$D$38)</x:f>
        <x:v>0.003000671245175939</x:v>
      </x:c>
      <x:c r="J38" s="3" t="n">
        <x:v>909</x:v>
      </x:c>
      <x:c r="K38" s="3" t="n">
        <x:v>10471</x:v>
      </x:c>
      <x:c r="L38" s="3" t="n">
        <x:v>22.238999999999997</x:v>
      </x:c>
      <x:c r="M38" s="3"/>
    </x:row>
    <x:row r="39" ht="20" customHeight="1">
      <x:c r="A39" s="12" t="n">
        <x:v>7</x:v>
      </x:c>
      <x:c r="B39" s="3" t="n">
        <x:v>8</x:v>
      </x:c>
      <x:c r="C39" s="3" t="n">
        <x:v>87331</x:v>
      </x:c>
      <x:c r="D39" s="3" t="n">
        <x:f>SQRT(C39/'B Gain'!$D$38+J39*L39^2+PI()*J39^2*L39^2/(2*K39))/B39</x:f>
        <x:v>100.64005581700506</x:v>
      </x:c>
      <x:c r="E39" s="3" t="n">
        <x:f>C39/B39</x:f>
        <x:v>10916.375</x:v>
      </x:c>
      <x:c r="F39" s="16" t="n">
        <x:f>(E39-$D$50)/$D$50</x:f>
        <x:v>0.002705079717183753</x:v>
      </x:c>
      <x:c r="G39" s="16" t="n">
        <x:f>D39/E39</x:f>
        <x:v>0.009219182724760286</x:v>
      </x:c>
      <x:c r="H39" s="3" t="n">
        <x:v>9163</x:v>
      </x:c>
      <x:c r="I39" s="16" t="n">
        <x:f>1/SQRT(C39*'B Gain'!$D$38)</x:f>
        <x:v>0.0029791709148374187</x:v>
      </x:c>
      <x:c r="J39" s="3" t="n">
        <x:v>908</x:v>
      </x:c>
      <x:c r="K39" s="3" t="n">
        <x:v>10473</x:v>
      </x:c>
      <x:c r="L39" s="3" t="n">
        <x:v>23.7216</x:v>
      </x:c>
      <x:c r="M39" s="3"/>
    </x:row>
    <x:row r="40" ht="20" customHeight="1">
      <x:c r="A40" s="12" t="n">
        <x:v>8</x:v>
      </x:c>
      <x:c r="B40" s="3" t="n">
        <x:v>8</x:v>
      </x:c>
      <x:c r="C40" s="3" t="n">
        <x:v>86352</x:v>
      </x:c>
      <x:c r="D40" s="3" t="n">
        <x:f>SQRT(C40/'B Gain'!$D$38+J40*L40^2+PI()*J40^2*L40^2/(2*K40))/B40</x:f>
        <x:v>100.58113235159959</x:v>
      </x:c>
      <x:c r="E40" s="3" t="n">
        <x:f>C40/B40</x:f>
        <x:v>10794</x:v>
      </x:c>
      <x:c r="F40" s="16" t="n">
        <x:f>(E40-$D$50)/$D$50</x:f>
        <x:v>-0.008535468004050663</x:v>
      </x:c>
      <x:c r="G40" s="16" t="n">
        <x:f>D40/E40</x:f>
        <x:v>0.009318244612896015</x:v>
      </x:c>
      <x:c r="H40" s="3" t="n">
        <x:v>9078</x:v>
      </x:c>
      <x:c r="I40" s="16" t="n">
        <x:f>1/SQRT(C40*'B Gain'!$D$38)</x:f>
        <x:v>0.0029960112209598973</x:v>
      </x:c>
      <x:c r="J40" s="3" t="n">
        <x:v>908</x:v>
      </x:c>
      <x:c r="K40" s="3" t="n">
        <x:v>10473</x:v>
      </x:c>
      <x:c r="L40" s="3" t="n">
        <x:v>23.7216</x:v>
      </x:c>
      <x:c r="M40" s="3"/>
    </x:row>
    <x:row r="41" ht="20" customHeight="1">
      <x:c r="A41" s="12" t="n">
        <x:v>9</x:v>
      </x:c>
      <x:c r="B41" s="3" t="n">
        <x:v>8</x:v>
      </x:c>
      <x:c r="C41" s="3" t="n">
        <x:v>86462</x:v>
      </x:c>
      <x:c r="D41" s="3" t="n">
        <x:f>SQRT(C41/'B Gain'!$D$38+J41*L41^2+PI()*J41^2*L41^2/(2*K41))/B41</x:f>
        <x:v>95.12667501828331</x:v>
      </x:c>
      <x:c r="E41" s="3" t="n">
        <x:f>C41/B41</x:f>
        <x:v>10807.75</x:v>
      </x:c>
      <x:c r="F41" s="16" t="n">
        <x:f>(E41-$D$50)/$D$50</x:f>
        <x:v>-0.007272485114024325</x:v>
      </x:c>
      <x:c r="G41" s="16" t="n">
        <x:f>D41/E41</x:f>
        <x:v>0.008801709423171641</x:v>
      </x:c>
      <x:c r="H41" s="3" t="n">
        <x:v>8622</x:v>
      </x:c>
      <x:c r="I41" s="16" t="n">
        <x:f>1/SQRT(C41*'B Gain'!$D$38)</x:f>
        <x:v>0.002994104798942785</x:v>
      </x:c>
      <x:c r="J41" s="3" t="n">
        <x:v>911</x:v>
      </x:c>
      <x:c r="K41" s="3" t="n">
        <x:v>10472</x:v>
      </x:c>
      <x:c r="L41" s="3" t="n">
        <x:v>22.238999999999997</x:v>
      </x:c>
      <x:c r="M41" s="3"/>
    </x:row>
    <x:row r="42" ht="20" customHeight="1">
      <x:c r="A42" s="12" t="n">
        <x:v>10</x:v>
      </x:c>
      <x:c r="B42" s="3" t="n">
        <x:v>8</x:v>
      </x:c>
      <x:c r="C42" s="3" t="n">
        <x:v>87450</x:v>
      </x:c>
      <x:c r="D42" s="3" t="n">
        <x:f>SQRT(C42/'B Gain'!$D$38+J42*L42^2+PI()*J42^2*L42^2/(2*K42))/B42</x:f>
        <x:v>100.64773154801101</x:v>
      </x:c>
      <x:c r="E42" s="3" t="n">
        <x:f>C42/B42</x:f>
        <x:v>10931.25</x:v>
      </x:c>
      <x:c r="F42" s="16" t="n">
        <x:f>(E42-$D$50)/$D$50</x:f>
        <x:v>0.00407139757093952</x:v>
      </x:c>
      <x:c r="G42" s="16" t="n">
        <x:f>D42/E42</x:f>
        <x:v>0.009207339649903808</x:v>
      </x:c>
      <x:c r="H42" s="3" t="n">
        <x:v>8997</x:v>
      </x:c>
      <x:c r="I42" s="16" t="n">
        <x:f>1/SQRT(C42*'B Gain'!$D$38)</x:f>
        <x:v>0.0029771432302910053</x:v>
      </x:c>
      <x:c r="J42" s="3" t="n">
        <x:v>908</x:v>
      </x:c>
      <x:c r="K42" s="3" t="n">
        <x:v>10472</x:v>
      </x:c>
      <x:c r="L42" s="3" t="n">
        <x:v>23.7216</x:v>
      </x:c>
      <x:c r="M42" s="3"/>
    </x:row>
    <x:row r="43" ht="20" customHeight="1">
      <x:c r="A43" s="12" t="n">
        <x:v>11</x:v>
      </x:c>
      <x:c r="B43" s="3" t="n">
        <x:v>8</x:v>
      </x:c>
      <x:c r="C43" s="3" t="n">
        <x:v>87590</x:v>
      </x:c>
      <x:c r="D43" s="3" t="n">
        <x:f>SQRT(C43/'B Gain'!$D$38+J43*L43^2+PI()*J43^2*L43^2/(2*K43))/B43</x:f>
        <x:v>95.15062179257671</x:v>
      </x:c>
      <x:c r="E43" s="3" t="n">
        <x:f>C43/B43</x:f>
        <x:v>10948.75</x:v>
      </x:c>
      <x:c r="F43" s="16" t="n">
        <x:f>(E43-$D$50)/$D$50</x:f>
        <x:v>0.005678830340063951</x:v>
      </x:c>
      <x:c r="G43" s="16" t="n">
        <x:f>D43/E43</x:f>
        <x:v>0.008690546573131792</x:v>
      </x:c>
      <x:c r="H43" s="3" t="n">
        <x:v>8426</x:v>
      </x:c>
      <x:c r="I43" s="16" t="n">
        <x:f>1/SQRT(C43*'B Gain'!$D$38)</x:f>
        <x:v>0.0029747630114635736</x:v>
      </x:c>
      <x:c r="J43" s="3" t="n">
        <x:v>910</x:v>
      </x:c>
      <x:c r="K43" s="3" t="n">
        <x:v>10464</x:v>
      </x:c>
      <x:c r="L43" s="3" t="n">
        <x:v>22.238999999999997</x:v>
      </x:c>
      <x:c r="M43" s="3"/>
    </x:row>
    <x:row r="44" ht="20" customHeight="1">
      <x:c r="A44" s="12" t="n">
        <x:v>12</x:v>
      </x:c>
      <x:c r="B44" s="3" t="n">
        <x:v>8</x:v>
      </x:c>
      <x:c r="C44" s="3" t="n">
        <x:v>86689</x:v>
      </x:c>
      <x:c r="D44" s="3" t="n">
        <x:f>SQRT(C44/'B Gain'!$D$38+J44*L44^2+PI()*J44^2*L44^2/(2*K44))/B44</x:f>
        <x:v>100.65597889449889</x:v>
      </x:c>
      <x:c r="E44" s="3" t="n">
        <x:f>C44/B44</x:f>
        <x:v>10836.125</x:v>
      </x:c>
      <x:c r="F44" s="16" t="n">
        <x:f>(E44-$D$50)/$D$50</x:f>
        <x:v>-0.0046661476955154255</x:v>
      </x:c>
      <x:c r="G44" s="16" t="n">
        <x:f>D44/E44</x:f>
        <x:v>0.009288927443574053</x:v>
      </x:c>
      <x:c r="H44" s="3" t="n">
        <x:v>9344</x:v>
      </x:c>
      <x:c r="I44" s="16" t="n">
        <x:f>1/SQRT(C44*'B Gain'!$D$38)</x:f>
        <x:v>0.0029901821137926026</x:v>
      </x:c>
      <x:c r="J44" s="3" t="n">
        <x:v>909</x:v>
      </x:c>
      <x:c r="K44" s="3" t="n">
        <x:v>10475</x:v>
      </x:c>
      <x:c r="L44" s="3" t="n">
        <x:v>23.7216</x:v>
      </x:c>
      <x:c r="M44" s="3"/>
    </x:row>
    <x:row r="45" ht="20" customHeight="1">
      <x:c r="A45" s="12" t="n">
        <x:v>13</x:v>
      </x:c>
      <x:c r="B45" s="3" t="n">
        <x:v>8</x:v>
      </x:c>
      <x:c r="C45" s="3" t="n">
        <x:v>86308</x:v>
      </x:c>
      <x:c r="D45" s="3" t="n">
        <x:f>SQRT(C45/'B Gain'!$D$38+J45*L45^2+PI()*J45^2*L45^2/(2*K45))/B45</x:f>
        <x:v>95.06465711368996</x:v>
      </x:c>
      <x:c r="E45" s="3" t="n">
        <x:f>C45/B45</x:f>
        <x:v>10788.5</x:v>
      </x:c>
      <x:c r="F45" s="16" t="n">
        <x:f>(E45-$D$50)/$D$50</x:f>
        <x:v>-0.0090406611600612</x:v>
      </x:c>
      <x:c r="G45" s="16" t="n">
        <x:f>D45/E45</x:f>
        <x:v>0.008811665858431659</x:v>
      </x:c>
      <x:c r="H45" s="3" t="n">
        <x:v>8386</x:v>
      </x:c>
      <x:c r="I45" s="16" t="n">
        <x:f>1/SQRT(C45*'B Gain'!$D$38)</x:f>
        <x:v>0.0029967748100646298</x:v>
      </x:c>
      <x:c r="J45" s="3" t="n">
        <x:v>910</x:v>
      </x:c>
      <x:c r="K45" s="3" t="n">
        <x:v>10473</x:v>
      </x:c>
      <x:c r="L45" s="3" t="n">
        <x:v>22.238999999999997</x:v>
      </x:c>
      <x:c r="M45" s="3"/>
    </x:row>
    <x:row r="46" ht="20" customHeight="1">
      <x:c r="A46" s="12" t="n">
        <x:v>14</x:v>
      </x:c>
      <x:c r="B46" s="3" t="n">
        <x:v>8</x:v>
      </x:c>
      <x:c r="C46" s="3" t="n">
        <x:v>84880</x:v>
      </x:c>
      <x:c r="D46" s="3" t="n">
        <x:f>SQRT(C46/'B Gain'!$D$38+J46*L46^2+PI()*J46^2*L46^2/(2*K46))/B46</x:f>
        <x:v>94.86908038399308</x:v>
      </x:c>
      <x:c r="E46" s="3" t="n">
        <x:f>C46/B46</x:f>
        <x:v>10610</x:v>
      </x:c>
      <x:c r="F46" s="16" t="n">
        <x:f>(E46-$D$50)/$D$50</x:f>
        <x:v>-0.0254364754051304</x:v>
      </x:c>
      <x:c r="G46" s="16" t="n">
        <x:f>D46/E46</x:f>
        <x:v>0.008941477887275503</x:v>
      </x:c>
      <x:c r="H46" s="3" t="n">
        <x:v>6332</x:v>
      </x:c>
      <x:c r="I46" s="16" t="n">
        <x:f>1/SQRT(C46*'B Gain'!$D$38)</x:f>
        <x:v>0.0030218781641689974</x:v>
      </x:c>
      <x:c r="J46" s="3" t="n">
        <x:v>908</x:v>
      </x:c>
      <x:c r="K46" s="3" t="n">
        <x:v>10475</x:v>
      </x:c>
      <x:c r="L46" s="3" t="n">
        <x:v>22.238999999999997</x:v>
      </x:c>
      <x:c r="M46" s="3"/>
    </x:row>
    <x:row r="47" ht="20" customHeight="1">
      <x:c r="A47" s="12" t="n">
        <x:v>15</x:v>
      </x:c>
      <x:c r="B47" s="3" t="n">
        <x:v>8</x:v>
      </x:c>
      <x:c r="C47" s="3" t="n">
        <x:v>86181</x:v>
      </x:c>
      <x:c r="D47" s="3" t="n">
        <x:f>SQRT(C47/'B Gain'!$D$38+J47*L47^2+PI()*J47^2*L47^2/(2*K47))/B47</x:f>
        <x:v>95.05753133544184</x:v>
      </x:c>
      <x:c r="E47" s="3" t="n">
        <x:f>C47/B47</x:f>
        <x:v>10772.625</x:v>
      </x:c>
      <x:c r="F47" s="16" t="n">
        <x:f>(E47-$D$50)/$D$50</x:f>
        <x:v>-0.01049883231490979</x:v>
      </x:c>
      <x:c r="G47" s="16" t="n">
        <x:f>D47/E47</x:f>
        <x:v>0.008823989634415181</x:v>
      </x:c>
      <x:c r="H47" s="3" t="n">
        <x:v>9826</x:v>
      </x:c>
      <x:c r="I47" s="16" t="n">
        <x:f>1/SQRT(C47*'B Gain'!$D$38)</x:f>
        <x:v>0.002998982084815043</x:v>
      </x:c>
      <x:c r="J47" s="3" t="n">
        <x:v>910</x:v>
      </x:c>
      <x:c r="K47" s="3" t="n">
        <x:v>10471</x:v>
      </x:c>
      <x:c r="L47" s="3" t="n">
        <x:v>22.238999999999997</x:v>
      </x:c>
      <x:c r="M47" s="3"/>
    </x:row>
    <x:row r="48" ht="2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2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20" customHeight="1">
      <x:c r="A50" s="3" t="str">
        <x:v>Field-star mean rate (DN/s)</x:v>
      </x:c>
      <x:c r="B50" s="3"/>
      <x:c r="C50" s="3"/>
      <x:c r="D50" s="15" t="n">
        <x:f>AVERAGE(E33:E47)</x:f>
        <x:v>10886.925</x:v>
      </x:c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20" customHeight="1">
      <x:c r="A51" s="3" t="str">
        <x:v>Sample SD (DN/s)</x:v>
      </x:c>
      <x:c r="B51" s="3"/>
      <x:c r="C51" s="3"/>
      <x:c r="D51" s="15" t="n">
        <x:f>STDEV(E33:E47)</x:f>
        <x:v>144.9321870368543</x:v>
      </x:c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20" customHeight="1">
      <x:c r="A52" s="3" t="str">
        <x:v>Field-star fractional scatter</x:v>
      </x:c>
      <x:c r="B52" s="3"/>
      <x:c r="C52" s="3"/>
      <x:c r="D52" s="17" t="n">
        <x:f>D51/D50</x:f>
        <x:v>0.013312499813937756</x:v>
      </x:c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20" customHeight="1">
      <x:c r="A53" s="3" t="str">
        <x:v>Mean modeled fraction</x:v>
      </x:c>
      <x:c r="B53" s="3"/>
      <x:c r="C53" s="3"/>
      <x:c r="D53" s="17" t="n">
        <x:f>AVERAGE(G33:G47)</x:f>
        <x:v>0.008937496922729302</x:v>
      </x:c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20" customHeight="1">
      <x:c r="A54" s="3" t="str">
        <x:v>Mean source photon fraction</x:v>
      </x:c>
      <x:c r="B54" s="3"/>
      <x:c r="C54" s="3"/>
      <x:c r="D54" s="17" t="n">
        <x:f>AVERAGE(I33:I47)</x:f>
        <x:v>0.0029833818848590357</x:v>
      </x:c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2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2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20" customHeight="1">
      <x:c r="A57" s="3" t="str">
        <x:v>Model errors use source shot noise, measured sky scatter and median-sky uncertainty. Scatters are SD/mean, not SEMs.</x:v>
      </x:c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</x:row>
    <x:row r="58" ht="2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 ht="2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</x:row>
    <x:row r="60" ht="2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 ht="2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 ht="2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2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 ht="2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2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 ht="2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20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 ht="20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 ht="20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 ht="20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 ht="20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 ht="2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 ht="2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 ht="20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 ht="20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 ht="20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 ht="20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 ht="20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 ht="20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 ht="20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 ht="20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 ht="20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 ht="20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 ht="20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 ht="20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 ht="20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 ht="20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 ht="20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 ht="20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 ht="20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</x:sheetData>
  <x:pageMargins left="0.7" right="0.7" top="0.75" bottom="0.75" header="0.3" footer="0.3"/>
  <x:drawing xmlns:r="http://schemas.openxmlformats.org/officeDocument/2006/relationships" r:id="R5222b7f85a1247cd"/>
</x:worksheet>
</file>

<file path=xl/worksheets/sheet6.xml><?xml version="1.0" encoding="utf-8"?>
<x:worksheet xmlns:x="http://schemas.openxmlformats.org/spreadsheetml/2006/main">
  <x:sheetViews>
    <x:sheetView showGridLines="1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0" customHeight="1">
      <x:c r="A2" s="4" t="str">
        <x:v>Exercise C: Exposure-time test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0" customHeight="1">
      <x:c r="A4" s="5" t="str">
        <x:v>Source: newtable.csv, 30-pixel-aperture rows; raw peaks from ogma_raw_maxima.csv.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4" customHeight="1">
      <x:c r="A7" s="7" t="str">
        <x:v>Image</x:v>
      </x:c>
      <x:c r="B7" s="7" t="str">
        <x:v>Time (s)</x:v>
      </x:c>
      <x:c r="C7" s="7" t="str">
        <x:v>Net counts DN</x:v>
      </x:c>
      <x:c r="D7" s="7" t="str">
        <x:v>FWHM (pix)</x:v>
      </x:c>
      <x:c r="E7" s="7" t="str">
        <x:v>Measured peak DN</x:v>
      </x:c>
      <x:c r="F7" s="7" t="str">
        <x:v>Rate DN/s</x:v>
      </x:c>
      <x:c r="G7" s="7" t="str">
        <x:v>Raw stellar peak DN</x:v>
      </x:c>
      <x:c r="H7" s="7" t="str">
        <x:v>ADC-clipped pixels</x:v>
      </x:c>
      <x:c r="I7" s="3"/>
      <x:c r="J7" s="3"/>
      <x:c r="K7" s="3"/>
      <x:c r="L7" s="3"/>
    </x:row>
    <x:row r="8" ht="20" customHeight="1">
      <x:c r="A8" s="3" t="str">
        <x:v>CCD Image 15.fits</x:v>
      </x:c>
      <x:c r="B8" s="3" t="n">
        <x:v>6</x:v>
      </x:c>
      <x:c r="C8" s="3" t="n">
        <x:v>1783869.3940226713</x:v>
      </x:c>
      <x:c r="D8" s="3" t="n">
        <x:v>6.791953462236493</x:v>
      </x:c>
      <x:c r="E8" s="3" t="n">
        <x:v>26361.25</x:v>
      </x:c>
      <x:c r="F8" s="3" t="n">
        <x:f>C8/B8</x:f>
        <x:v>297311.5656704452</x:v>
      </x:c>
      <x:c r="G8" s="3" t="n">
        <x:v>27401</x:v>
      </x:c>
      <x:c r="H8" s="3" t="n">
        <x:v>0</x:v>
      </x:c>
      <x:c r="I8" s="3"/>
      <x:c r="J8" s="3"/>
      <x:c r="K8" s="3"/>
      <x:c r="L8" s="3"/>
    </x:row>
    <x:row r="9" ht="20" customHeight="1">
      <x:c r="A9" s="3" t="str">
        <x:v>CCD Image 18.fits</x:v>
      </x:c>
      <x:c r="B9" s="3" t="n">
        <x:v>8</x:v>
      </x:c>
      <x:c r="C9" s="3" t="n">
        <x:v>2395024.7377152354</x:v>
      </x:c>
      <x:c r="D9" s="3" t="n">
        <x:v>6.64414579712864</x:v>
      </x:c>
      <x:c r="E9" s="3" t="n">
        <x:v>41511.5</x:v>
      </x:c>
      <x:c r="F9" s="3" t="n">
        <x:f>C9/B9</x:f>
        <x:v>299378.09221440443</x:v>
      </x:c>
      <x:c r="G9" s="3" t="n">
        <x:v>42552</x:v>
      </x:c>
      <x:c r="H9" s="3" t="n">
        <x:v>0</x:v>
      </x:c>
      <x:c r="I9" s="3"/>
      <x:c r="J9" s="3"/>
      <x:c r="K9" s="3"/>
      <x:c r="L9" s="3"/>
    </x:row>
    <x:row r="10" ht="20" customHeight="1">
      <x:c r="A10" s="3" t="str">
        <x:v>CCD Image 17.fits</x:v>
      </x:c>
      <x:c r="B10" s="3" t="n">
        <x:v>10</x:v>
      </x:c>
      <x:c r="C10" s="3" t="n">
        <x:v>2755741.8712324873</x:v>
      </x:c>
      <x:c r="D10" s="3" t="n">
        <x:v>7.304864858395125</x:v>
      </x:c>
      <x:c r="E10" s="3" t="n">
        <x:v>44926.55078125</x:v>
      </x:c>
      <x:c r="F10" s="3" t="n">
        <x:f>C10/B10</x:f>
        <x:v>275574.1871232487</x:v>
      </x:c>
      <x:c r="G10" s="3" t="n">
        <x:v>45964</x:v>
      </x:c>
      <x:c r="H10" s="3" t="n">
        <x:v>0</x:v>
      </x:c>
      <x:c r="I10" s="3"/>
      <x:c r="J10" s="3"/>
      <x:c r="K10" s="3"/>
      <x:c r="L10" s="3"/>
    </x:row>
    <x:row r="11" ht="20" customHeight="1">
      <x:c r="A11" s="3" t="str">
        <x:v>CCD Image 19.fits</x:v>
      </x:c>
      <x:c r="B11" s="3" t="n">
        <x:v>12</x:v>
      </x:c>
      <x:c r="C11" s="3" t="n">
        <x:v>2904177.966116809</x:v>
      </x:c>
      <x:c r="D11" s="3" t="n">
        <x:v>7.829678703989699</x:v>
      </x:c>
      <x:c r="E11" s="3" t="n">
        <x:v>44971.5</x:v>
      </x:c>
      <x:c r="F11" s="3" t="n">
        <x:f>C11/B11</x:f>
        <x:v>242014.83050973408</x:v>
      </x:c>
      <x:c r="G11" s="3" t="n">
        <x:v>46012</x:v>
      </x:c>
      <x:c r="H11" s="3" t="n">
        <x:v>0</x:v>
      </x:c>
      <x:c r="I11" s="3"/>
      <x:c r="J11" s="3"/>
      <x:c r="K11" s="3"/>
      <x:c r="L11" s="3"/>
    </x:row>
    <x:row r="12" ht="20" customHeight="1">
      <x:c r="A12" s="3" t="str">
        <x:v>CCD Image 16.fits</x:v>
      </x:c>
      <x:c r="B12" s="3" t="n">
        <x:v>15</x:v>
      </x:c>
      <x:c r="C12" s="3" t="n">
        <x:v>3560878.4506800873</x:v>
      </x:c>
      <x:c r="D12" s="3" t="n">
        <x:v>8.60996120044884</x:v>
      </x:c>
      <x:c r="E12" s="3" t="n">
        <x:v>44876.75</x:v>
      </x:c>
      <x:c r="F12" s="3" t="n">
        <x:f>C12/B12</x:f>
        <x:v>237391.8967120058</x:v>
      </x:c>
      <x:c r="G12" s="3" t="n">
        <x:v>45918</x:v>
      </x:c>
      <x:c r="H12" s="3" t="n">
        <x:v>0</x:v>
      </x:c>
      <x:c r="I12" s="3"/>
      <x:c r="J12" s="3"/>
      <x:c r="K12" s="3"/>
      <x:c r="L12" s="3"/>
    </x:row>
    <x:row r="13" ht="20" customHeight="1">
      <x:c r="A13" s="3" t="str">
        <x:v>CCD Image 20.fits</x:v>
      </x:c>
      <x:c r="B13" s="3" t="n">
        <x:v>20</x:v>
      </x:c>
      <x:c r="C13" s="3" t="n">
        <x:v>3945454.744491166</x:v>
      </x:c>
      <x:c r="D13" s="3" t="n">
        <x:v>9.224928302668944</x:v>
      </x:c>
      <x:c r="E13" s="3" t="n">
        <x:v>45014.6015625</x:v>
      </x:c>
      <x:c r="F13" s="3" t="n">
        <x:f>C13/B13</x:f>
        <x:v>197272.7372245583</x:v>
      </x:c>
      <x:c r="G13" s="3" t="n">
        <x:v>46049</x:v>
      </x:c>
      <x:c r="H13" s="3" t="n">
        <x:v>0</x:v>
      </x:c>
      <x:c r="I13" s="3"/>
      <x:c r="J13" s="3"/>
      <x:c r="K13" s="3"/>
      <x:c r="L13" s="3"/>
    </x:row>
    <x:row r="14" ht="20" customHeight="1">
      <x:c r="A14" s="3" t="str">
        <x:v>CCD Image 21.fits</x:v>
      </x:c>
      <x:c r="B14" s="3" t="n">
        <x:v>45</x:v>
      </x:c>
      <x:c r="C14" s="3" t="n">
        <x:v>7177383.9827380655</x:v>
      </x:c>
      <x:c r="D14" s="3" t="n">
        <x:v>12.49894245833861</x:v>
      </x:c>
      <x:c r="E14" s="3" t="n">
        <x:v>45063.75</x:v>
      </x:c>
      <x:c r="F14" s="3" t="n">
        <x:f>C14/B14</x:f>
        <x:v>159497.42183862368</x:v>
      </x:c>
      <x:c r="G14" s="3" t="n">
        <x:v>46099</x:v>
      </x:c>
      <x:c r="H14" s="3" t="n">
        <x:v>0</x:v>
      </x:c>
      <x:c r="I14" s="3"/>
      <x:c r="J14" s="3"/>
      <x:c r="K14" s="3"/>
      <x:c r="L14" s="3"/>
    </x:row>
    <x:row r="15" ht="20" customHeight="1">
      <x:c r="A15" s="3" t="str">
        <x:v>CCD Image 22.fits</x:v>
      </x:c>
      <x:c r="B15" s="3" t="n">
        <x:v>60</x:v>
      </x:c>
      <x:c r="C15" s="3" t="n">
        <x:v>9515344.555106288</x:v>
      </x:c>
      <x:c r="D15" s="3" t="n">
        <x:v>14.50337670561905</x:v>
      </x:c>
      <x:c r="E15" s="3" t="n">
        <x:v>44998.1484375</x:v>
      </x:c>
      <x:c r="F15" s="3" t="n">
        <x:f>C15/B15</x:f>
        <x:v>158589.07591843812</x:v>
      </x:c>
      <x:c r="G15" s="3" t="n">
        <x:v>46034</x:v>
      </x:c>
      <x:c r="H15" s="3" t="n">
        <x:v>0</x:v>
      </x:c>
      <x:c r="I15" s="3"/>
      <x:c r="J15" s="3"/>
      <x:c r="K15" s="3"/>
      <x:c r="L15" s="3"/>
    </x:row>
    <x:row r="16" ht="20" customHeight="1">
      <x:c r="A16" s="3" t="str">
        <x:v>CCD Image 23.fits</x:v>
      </x:c>
      <x:c r="B16" s="3" t="n">
        <x:v>90</x:v>
      </x:c>
      <x:c r="C16" s="3" t="n">
        <x:v>11860869.685207702</x:v>
      </x:c>
      <x:c r="D16" s="3" t="n">
        <x:v>16.357153057541986</x:v>
      </x:c>
      <x:c r="E16" s="3" t="n">
        <x:v>45139.3984375</x:v>
      </x:c>
      <x:c r="F16" s="3" t="n">
        <x:f>C16/B16</x:f>
        <x:v>131787.44094675223</x:v>
      </x:c>
      <x:c r="G16" s="3" t="n">
        <x:v>46177</x:v>
      </x:c>
      <x:c r="H16" s="3" t="n">
        <x:v>0</x:v>
      </x:c>
      <x:c r="I16" s="3"/>
      <x:c r="J16" s="3"/>
      <x:c r="K16" s="3"/>
      <x:c r="L16" s="3"/>
    </x:row>
    <x:row r="17" ht="20" customHeight="1">
      <x:c r="A17" s="3" t="str">
        <x:v>CCD Image 24.fits</x:v>
      </x:c>
      <x:c r="B17" s="3" t="n">
        <x:v>120</x:v>
      </x:c>
      <x:c r="C17" s="3" t="n">
        <x:v>13610839.1782064</x:v>
      </x:c>
      <x:c r="D17" s="3" t="n">
        <x:v>17.496257854377593</x:v>
      </x:c>
      <x:c r="E17" s="3" t="n">
        <x:v>45164.5</x:v>
      </x:c>
      <x:c r="F17" s="3" t="n">
        <x:f>C17/B17</x:f>
        <x:v>113423.65981838666</x:v>
      </x:c>
      <x:c r="G17" s="3" t="n">
        <x:v>46202</x:v>
      </x:c>
      <x:c r="H17" s="3" t="n">
        <x:v>0</x:v>
      </x:c>
      <x:c r="I17" s="3"/>
      <x:c r="J17" s="3"/>
      <x:c r="K17" s="3"/>
      <x:c r="L17" s="3"/>
    </x:row>
    <x:row r="18" ht="20" customHeight="1">
      <x:c r="A18" s="3" t="str">
        <x:v>CCD Image 25.fits</x:v>
      </x:c>
      <x:c r="B18" s="3" t="n">
        <x:v>150</x:v>
      </x:c>
      <x:c r="C18" s="3" t="n">
        <x:v>13114339.104710788</x:v>
      </x:c>
      <x:c r="D18" s="3" t="n">
        <x:v>17.238823082698417</x:v>
      </x:c>
      <x:c r="E18" s="3" t="n">
        <x:v>45384.6015625</x:v>
      </x:c>
      <x:c r="F18" s="3" t="n">
        <x:f>C18/B18</x:f>
        <x:v>87428.92736473859</x:v>
      </x:c>
      <x:c r="G18" s="3" t="n">
        <x:v>46421</x:v>
      </x:c>
      <x:c r="H18" s="3" t="n">
        <x:v>0</x:v>
      </x:c>
      <x:c r="I18" s="3"/>
      <x:c r="J18" s="3"/>
      <x:c r="K18" s="3"/>
      <x:c r="L18" s="3"/>
    </x:row>
    <x:row r="19" ht="20" customHeight="1">
      <x:c r="A19" s="3" t="str">
        <x:v>CCD Image 26.fits</x:v>
      </x:c>
      <x:c r="B19" s="3" t="n">
        <x:v>300</x:v>
      </x:c>
      <x:c r="C19" s="3" t="n">
        <x:v>20976284.35750888</x:v>
      </x:c>
      <x:c r="D19" s="3" t="n">
        <x:v>22.974994883345367</x:v>
      </x:c>
      <x:c r="E19" s="3" t="n">
        <x:v>45896.8515625</x:v>
      </x:c>
      <x:c r="F19" s="3" t="n">
        <x:f>C19/B19</x:f>
        <x:v>69920.94785836292</x:v>
      </x:c>
      <x:c r="G19" s="3" t="n">
        <x:v>47300</x:v>
      </x:c>
      <x:c r="H19" s="3" t="n">
        <x:v>0</x:v>
      </x:c>
      <x:c r="I19" s="3"/>
      <x:c r="J19" s="3"/>
      <x:c r="K19" s="3"/>
      <x:c r="L19" s="3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0" customHeight="1">
      <x:c r="A23" s="3" t="str">
        <x:v>Raw and calibrated peaks are distinct. A plateau below 65535 DN is not evidence of ADC clipping.</x:v>
      </x:c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 ht="2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 ht="2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34" customHeight="1">
      <x:c r="A47" s="7" t="str">
        <x:v>Image</x:v>
      </x:c>
      <x:c r="B47" s="7" t="str">
        <x:v>Time (s)</x:v>
      </x:c>
      <x:c r="C47" s="7" t="str">
        <x:v>17-pixel net DN</x:v>
      </x:c>
      <x:c r="D47" s="7" t="str">
        <x:v>30-pixel net DN</x:v>
      </x:c>
      <x:c r="E47" s="7" t="str">
        <x:v>Recovered fraction</x:v>
      </x:c>
      <x:c r="F47" s="3"/>
      <x:c r="G47" s="3"/>
      <x:c r="H47" s="3"/>
      <x:c r="I47" s="3"/>
      <x:c r="J47" s="3"/>
      <x:c r="K47" s="3"/>
      <x:c r="L47" s="3"/>
    </x:row>
    <x:row r="48" ht="20" customHeight="1">
      <x:c r="A48" s="3" t="str">
        <x:v>CCD Image 21.fits</x:v>
      </x:c>
      <x:c r="B48" s="3" t="n">
        <x:v>45</x:v>
      </x:c>
      <x:c r="C48" s="3" t="n">
        <x:v>6927095.801608528</x:v>
      </x:c>
      <x:c r="D48" s="3" t="n">
        <x:v>7177383.9827380655</x:v>
      </x:c>
      <x:c r="E48" s="20" t="n">
        <x:f>D48/C48-1</x:f>
        <x:v>0.03613176261708673</x:v>
      </x:c>
      <x:c r="F48" s="3"/>
      <x:c r="G48" s="3"/>
      <x:c r="H48" s="3"/>
      <x:c r="I48" s="3"/>
      <x:c r="J48" s="3"/>
      <x:c r="K48" s="3"/>
      <x:c r="L48" s="3"/>
    </x:row>
    <x:row r="49" ht="20" customHeight="1">
      <x:c r="A49" s="3" t="str">
        <x:v>CCD Image 22.fits</x:v>
      </x:c>
      <x:c r="B49" s="3" t="n">
        <x:v>60</x:v>
      </x:c>
      <x:c r="C49" s="3" t="n">
        <x:v>9122563.268884312</x:v>
      </x:c>
      <x:c r="D49" s="3" t="n">
        <x:v>9515344.555106288</x:v>
      </x:c>
      <x:c r="E49" s="20" t="n">
        <x:f>D49/C49-1</x:f>
        <x:v>0.0430560221557128</x:v>
      </x:c>
      <x:c r="F49" s="3"/>
      <x:c r="G49" s="3"/>
      <x:c r="H49" s="3"/>
      <x:c r="I49" s="3"/>
      <x:c r="J49" s="3"/>
      <x:c r="K49" s="3"/>
      <x:c r="L49" s="3"/>
    </x:row>
    <x:row r="50" ht="20" customHeight="1">
      <x:c r="A50" s="3" t="str">
        <x:v>CCD Image 23.fits</x:v>
      </x:c>
      <x:c r="B50" s="3" t="n">
        <x:v>90</x:v>
      </x:c>
      <x:c r="C50" s="3" t="n">
        <x:v>11277792.576765196</x:v>
      </x:c>
      <x:c r="D50" s="3" t="n">
        <x:v>11860869.685207702</x:v>
      </x:c>
      <x:c r="E50" s="20" t="n">
        <x:f>D50/C50-1</x:f>
        <x:v>0.05170135063875669</x:v>
      </x:c>
      <x:c r="F50" s="3"/>
      <x:c r="G50" s="3"/>
      <x:c r="H50" s="3"/>
      <x:c r="I50" s="3"/>
      <x:c r="J50" s="3"/>
      <x:c r="K50" s="3"/>
      <x:c r="L50" s="3"/>
    </x:row>
    <x:row r="51" ht="20" customHeight="1">
      <x:c r="A51" s="3" t="str">
        <x:v>CCD Image 24.fits</x:v>
      </x:c>
      <x:c r="B51" s="3" t="n">
        <x:v>120</x:v>
      </x:c>
      <x:c r="C51" s="3" t="n">
        <x:v>12841232.617329815</x:v>
      </x:c>
      <x:c r="D51" s="3" t="n">
        <x:v>13610839.1782064</x:v>
      </x:c>
      <x:c r="E51" s="20" t="n">
        <x:f>D51/C51-1</x:f>
        <x:v>0.059932452266145075</x:v>
      </x:c>
      <x:c r="F51" s="3"/>
      <x:c r="G51" s="3"/>
      <x:c r="H51" s="3"/>
      <x:c r="I51" s="3"/>
      <x:c r="J51" s="3"/>
      <x:c r="K51" s="3"/>
      <x:c r="L51" s="3"/>
    </x:row>
    <x:row r="52" ht="20" customHeight="1">
      <x:c r="A52" s="3" t="str">
        <x:v>CCD Image 25.fits</x:v>
      </x:c>
      <x:c r="B52" s="3" t="n">
        <x:v>150</x:v>
      </x:c>
      <x:c r="C52" s="3" t="n">
        <x:v>12328028.62044401</x:v>
      </x:c>
      <x:c r="D52" s="3" t="n">
        <x:v>13114339.104710788</x:v>
      </x:c>
      <x:c r="E52" s="20" t="n">
        <x:f>D52/C52-1</x:f>
        <x:v>0.06378233766936692</x:v>
      </x:c>
      <x:c r="F52" s="3"/>
      <x:c r="G52" s="3"/>
      <x:c r="H52" s="3"/>
      <x:c r="I52" s="3"/>
      <x:c r="J52" s="3"/>
      <x:c r="K52" s="3"/>
      <x:c r="L52" s="3"/>
    </x:row>
    <x:row r="53" ht="20" customHeight="1">
      <x:c r="A53" s="3" t="str">
        <x:v>CCD Image 26.fits</x:v>
      </x:c>
      <x:c r="B53" s="3" t="n">
        <x:v>300</x:v>
      </x:c>
      <x:c r="C53" s="3" t="n">
        <x:v>19113514.825535923</x:v>
      </x:c>
      <x:c r="D53" s="3" t="n">
        <x:v>20976284.35750888</x:v>
      </x:c>
      <x:c r="E53" s="20" t="n">
        <x:f>D53/C53-1</x:f>
        <x:v>0.09745824088221955</x:v>
      </x:c>
      <x:c r="F53" s="3"/>
      <x:c r="G53" s="3"/>
      <x:c r="H53" s="3"/>
      <x:c r="I53" s="3"/>
      <x:c r="J53" s="3"/>
      <x:c r="K53" s="3"/>
      <x:c r="L53" s="3"/>
    </x:row>
    <x:row r="54" ht="2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 ht="2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 ht="2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2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 ht="2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2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2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2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</x:sheetData>
  <x:pageMargins left="0.7" right="0.7" top="0.75" bottom="0.75" header="0.3" footer="0.3"/>
  <x:drawing xmlns:r="http://schemas.openxmlformats.org/officeDocument/2006/relationships" r:id="Rf1dcf2cae9bf4602"/>
</x:worksheet>
</file>

<file path=xl/worksheets/sheet7.xml><?xml version="1.0" encoding="utf-8"?>
<x:worksheet xmlns:x="http://schemas.openxmlformats.org/spreadsheetml/2006/main">
  <x:sheetViews>
    <x:sheetView showGridLines="1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0" customHeight="1">
      <x:c r="A2" s="4" t="str">
        <x:v>Exercise D: M29 instrumental colors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20" customHeight="1">
      <x:c r="A4" s="5" t="str">
        <x:v>Source: M29.csv, matching B/V/R rows and aperture IDs. All twelve measurements retained; 10 and 11 excluded.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</x:row>
    <x:row r="6" ht="2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34" customHeight="1">
      <x:c r="A7" s="7" t="str">
        <x:v>Star</x:v>
      </x:c>
      <x:c r="B7" s="7" t="str">
        <x:v>AIJ ID</x:v>
      </x:c>
      <x:c r="C7" s="7" t="str">
        <x:v>B net DN</x:v>
      </x:c>
      <x:c r="D7" s="7" t="str">
        <x:v>V net DN</x:v>
      </x:c>
      <x:c r="E7" s="7" t="str">
        <x:v>R net DN</x:v>
      </x:c>
      <x:c r="F7" s="7" t="str">
        <x:v>B error DN</x:v>
      </x:c>
      <x:c r="G7" s="7" t="str">
        <x:v>V error DN</x:v>
      </x:c>
      <x:c r="H7" s="7" t="str">
        <x:v>R error DN</x:v>
      </x:c>
      <x:c r="I7" s="7" t="str">
        <x:v>R peak DN</x:v>
      </x:c>
      <x:c r="J7" s="7" t="str">
        <x:v>Selection</x:v>
      </x:c>
      <x:c r="K7" s="7" t="str">
        <x:v>B-V mag</x:v>
      </x:c>
      <x:c r="L7" s="7" t="str">
        <x:v>V-R mag</x:v>
      </x:c>
      <x:c r="M7" s="7" t="str">
        <x:v>sigma B mag</x:v>
      </x:c>
      <x:c r="N7" s="7" t="str">
        <x:v>sigma V mag</x:v>
      </x:c>
      <x:c r="O7" s="7" t="str">
        <x:v>sigma R mag</x:v>
      </x:c>
      <x:c r="P7" s="7" t="str">
        <x:v>sigma BV mag</x:v>
      </x:c>
      <x:c r="Q7" s="7" t="str">
        <x:v>sigma VR mag</x:v>
      </x:c>
      <x:c r="R7" s="22" t="str">
        <x:v>Cov(BV,VR)</x:v>
      </x:c>
    </x:row>
    <x:row r="8" ht="20" customHeight="1">
      <x:c r="A8" s="12" t="n">
        <x:v>1</x:v>
      </x:c>
      <x:c r="B8" s="3" t="str">
        <x:v>T1</x:v>
      </x:c>
      <x:c r="C8" s="3" t="n">
        <x:v>272429.13284605334</x:v>
      </x:c>
      <x:c r="D8" s="3" t="n">
        <x:v>578024.4495396996</x:v>
      </x:c>
      <x:c r="E8" s="3" t="n">
        <x:v>692678.9044587179</x:v>
      </x:c>
      <x:c r="F8" s="3" t="n">
        <x:v>670.7129151255904</x:v>
      </x:c>
      <x:c r="G8" s="3" t="n">
        <x:v>967.2957184455908</x:v>
      </x:c>
      <x:c r="H8" s="3" t="n">
        <x:v>1019.1567713738001</x:v>
      </x:c>
      <x:c r="I8" s="3" t="n">
        <x:v>35302.7890625</x:v>
      </x:c>
      <x:c r="J8" s="3" t="str">
        <x:v>Included</x:v>
      </x:c>
      <x:c r="K8" s="3" t="n">
        <x:f>-2.5*LOG10(C8/D8)</x:f>
        <x:v>0.816731651934855</x:v>
      </x:c>
      <x:c r="L8" s="3" t="n">
        <x:f>-2.5*LOG10(D8/E8)</x:f>
        <x:v>0.19646438150739248</x:v>
      </x:c>
      <x:c r="M8" s="3" t="n">
        <x:f>2.5/LN(10)*F8/C8</x:f>
        <x:v>0.0026730522075340134</x:v>
      </x:c>
      <x:c r="N8" s="3" t="n">
        <x:f>2.5/LN(10)*G8/D8</x:f>
        <x:v>0.0018169265730199405</x:v>
      </x:c>
      <x:c r="O8" s="3" t="n">
        <x:f>2.5/LN(10)*H8/E8</x:f>
        <x:v>0.001597472361121812</x:v>
      </x:c>
      <x:c r="P8" s="3" t="n">
        <x:f>SQRT(M8^2+N8^2)</x:f>
        <x:v>0.003232093791329151</x:v>
      </x:c>
      <x:c r="Q8" s="3" t="n">
        <x:f>SQRT(N8^2+O8^2)</x:f>
        <x:v>0.002419326376554863</x:v>
      </x:c>
      <x:c r="R8" s="23" t="n">
        <x:f>-(N8^2)</x:f>
        <x:v>-0.000003301222171745985</x:v>
      </x:c>
    </x:row>
    <x:row r="9" ht="20" customHeight="1">
      <x:c r="A9" s="12" t="n">
        <x:v>2</x:v>
      </x:c>
      <x:c r="B9" s="3" t="str">
        <x:v>C2</x:v>
      </x:c>
      <x:c r="C9" s="3" t="n">
        <x:v>258869.25796602486</x:v>
      </x:c>
      <x:c r="D9" s="3" t="n">
        <x:v>608546.4259027729</x:v>
      </x:c>
      <x:c r="E9" s="3" t="n">
        <x:v>811736.2296443584</x:v>
      </x:c>
      <x:c r="F9" s="3" t="n">
        <x:v>663.9629674491523</x:v>
      </x:c>
      <x:c r="G9" s="3" t="n">
        <x:v>986.2693906667753</x:v>
      </x:c>
      <x:c r="H9" s="3" t="n">
        <x:v>1078.7293557571609</x:v>
      </x:c>
      <x:c r="I9" s="3" t="n">
        <x:v>44231.8359375</x:v>
      </x:c>
      <x:c r="J9" s="3" t="str">
        <x:v>Included</x:v>
      </x:c>
      <x:c r="K9" s="3" t="n">
        <x:f>-2.5*LOG10(C9/D9)</x:f>
        <x:v>0.928033093128765</x:v>
      </x:c>
      <x:c r="L9" s="3" t="n">
        <x:f>-2.5*LOG10(D9/E9)</x:f>
        <x:v>0.31280303468475246</x:v>
      </x:c>
      <x:c r="M9" s="3" t="n">
        <x:f>2.5/LN(10)*F9/C9</x:f>
        <x:v>0.0027847595270381648</x:v>
      </x:c>
      <x:c r="N9" s="3" t="n">
        <x:f>2.5/LN(10)*G9/D9</x:f>
        <x:v>0.0017596494523866332</x:v>
      </x:c>
      <x:c r="O9" s="3" t="n">
        <x:f>2.5/LN(10)*H9/E9</x:f>
        <x:v>0.001442852337875938</x:v>
      </x:c>
      <x:c r="P9" s="3" t="n">
        <x:f>SQRT(M9^2+N9^2)</x:f>
        <x:v>0.0032941238317213276</x:v>
      </x:c>
      <x:c r="Q9" s="3" t="n">
        <x:f>SQRT(N9^2+O9^2)</x:f>
        <x:v>0.002275563460815505</x:v>
      </x:c>
      <x:c r="R9" s="23" t="n">
        <x:f>-(N9^2)</x:f>
        <x:v>-0.000003096366195284578</x:v>
      </x:c>
    </x:row>
    <x:row r="10" ht="20" customHeight="1">
      <x:c r="A10" s="12" t="n">
        <x:v>3</x:v>
      </x:c>
      <x:c r="B10" s="3" t="str">
        <x:v>C3</x:v>
      </x:c>
      <x:c r="C10" s="3" t="n">
        <x:v>152103.1972783642</x:v>
      </x:c>
      <x:c r="D10" s="3" t="n">
        <x:v>348257.3093758862</x:v>
      </x:c>
      <x:c r="E10" s="3" t="n">
        <x:v>455550.3507767375</x:v>
      </x:c>
      <x:c r="F10" s="3" t="n">
        <x:v>573.8528372328735</x:v>
      </x:c>
      <x:c r="G10" s="3" t="n">
        <x:v>840.1112671294171</x:v>
      </x:c>
      <x:c r="H10" s="3" t="n">
        <x:v>896.1589067007382</x:v>
      </x:c>
      <x:c r="I10" s="3" t="n">
        <x:v>26019.701171875</x:v>
      </x:c>
      <x:c r="J10" s="3" t="str">
        <x:v>Included</x:v>
      </x:c>
      <x:c r="K10" s="3" t="n">
        <x:f>-2.5*LOG10(C10/D10)</x:f>
        <x:v>0.89940474284181</x:v>
      </x:c>
      <x:c r="L10" s="3" t="n">
        <x:f>-2.5*LOG10(D10/E10)</x:f>
        <x:v>0.29159036257627746</x:v>
      </x:c>
      <x:c r="M10" s="3" t="n">
        <x:f>2.5/LN(10)*F10/C10</x:f>
        <x:v>0.004096250524219127</x:v>
      </x:c>
      <x:c r="N10" s="3" t="n">
        <x:f>2.5/LN(10)*G10/D10</x:f>
        <x:v>0.0026191531209561283</x:v>
      </x:c>
      <x:c r="O10" s="3" t="n">
        <x:f>2.5/LN(10)*H10/E10</x:f>
        <x:v>0.002135860873693656</x:v>
      </x:c>
      <x:c r="P10" s="3" t="n">
        <x:f>SQRT(M10^2+N10^2)</x:f>
        <x:v>0.004862019274764313</x:v>
      </x:c>
      <x:c r="Q10" s="3" t="n">
        <x:f>SQRT(N10^2+O10^2)</x:f>
        <x:v>0.003379624941142087</x:v>
      </x:c>
      <x:c r="R10" s="23" t="n">
        <x:f>-(N10^2)</x:f>
        <x:v>-0.0000068599630710142276</x:v>
      </x:c>
    </x:row>
    <x:row r="11" ht="20" customHeight="1">
      <x:c r="A11" s="12" t="n">
        <x:v>4</x:v>
      </x:c>
      <x:c r="B11" s="3" t="str">
        <x:v>C4</x:v>
      </x:c>
      <x:c r="C11" s="3" t="n">
        <x:v>231023.11813351425</x:v>
      </x:c>
      <x:c r="D11" s="3" t="n">
        <x:v>521314.78972241614</x:v>
      </x:c>
      <x:c r="E11" s="3" t="n">
        <x:v>681978.5062546391</x:v>
      </x:c>
      <x:c r="F11" s="3" t="n">
        <x:v>642.6694978736755</x:v>
      </x:c>
      <x:c r="G11" s="3" t="n">
        <x:v>942.4705205578006</x:v>
      </x:c>
      <x:c r="H11" s="3" t="n">
        <x:v>1019.091473870787</x:v>
      </x:c>
      <x:c r="I11" s="3" t="n">
        <x:v>33585.6875</x:v>
      </x:c>
      <x:c r="J11" s="3" t="str">
        <x:v>Included</x:v>
      </x:c>
      <x:c r="K11" s="3" t="n">
        <x:f>-2.5*LOG10(C11/D11)</x:f>
        <x:v>0.8836115119917349</x:v>
      </x:c>
      <x:c r="L11" s="3" t="n">
        <x:f>-2.5*LOG10(D11/E11)</x:f>
        <x:v>0.2916766031689575</x:v>
      </x:c>
      <x:c r="M11" s="3" t="n">
        <x:f>2.5/LN(10)*F11/C11</x:f>
        <x:v>0.003020345094346437</x:v>
      </x:c>
      <x:c r="N11" s="3" t="n">
        <x:f>2.5/LN(10)*G11/D11</x:f>
        <x:v>0.0019628723110497338</x:v>
      </x:c>
      <x:c r="O11" s="3" t="n">
        <x:f>2.5/LN(10)*H11/E11</x:f>
        <x:v>0.0016224331104193214</x:v>
      </x:c>
      <x:c r="P11" s="3" t="n">
        <x:f>SQRT(M11^2+N11^2)</x:f>
        <x:v>0.003602131618698616</x:v>
      </x:c>
      <x:c r="Q11" s="3" t="n">
        <x:f>SQRT(N11^2+O11^2)</x:f>
        <x:v>0.0025465971230782926</x:v>
      </x:c>
      <x:c r="R11" s="23" t="n">
        <x:f>-(N11^2)</x:f>
        <x:v>-0.000003852867709485723</x:v>
      </x:c>
    </x:row>
    <x:row r="12" ht="20" customHeight="1">
      <x:c r="A12" s="12" t="n">
        <x:v>5</x:v>
      </x:c>
      <x:c r="B12" s="3" t="str">
        <x:v>C5</x:v>
      </x:c>
      <x:c r="C12" s="3" t="n">
        <x:v>160092.38295401042</x:v>
      </x:c>
      <x:c r="D12" s="3" t="n">
        <x:v>367102.5083184596</x:v>
      </x:c>
      <x:c r="E12" s="3" t="n">
        <x:v>467630.06360803626</x:v>
      </x:c>
      <x:c r="F12" s="3" t="n">
        <x:v>582.1484922373876</x:v>
      </x:c>
      <x:c r="G12" s="3" t="n">
        <x:v>853.1663444122723</x:v>
      </x:c>
      <x:c r="H12" s="3" t="n">
        <x:v>903.6488121209653</x:v>
      </x:c>
      <x:c r="I12" s="3" t="n">
        <x:v>27688.375</x:v>
      </x:c>
      <x:c r="J12" s="3" t="str">
        <x:v>Included</x:v>
      </x:c>
      <x:c r="K12" s="3" t="n">
        <x:f>-2.5*LOG10(C12/D12)</x:f>
        <x:v>0.9010417071327701</x:v>
      </x:c>
      <x:c r="L12" s="3" t="n">
        <x:f>-2.5*LOG10(D12/E12)</x:f>
        <x:v>0.26278767983984497</x:v>
      </x:c>
      <x:c r="M12" s="3" t="n">
        <x:f>2.5/LN(10)*F12/C12</x:f>
        <x:v>0.0039480934876774225</x:v>
      </x:c>
      <x:c r="N12" s="3" t="n">
        <x:f>2.5/LN(10)*G12/D12</x:f>
        <x:v>0.0025233104318807195</x:v>
      </x:c>
      <x:c r="O12" s="3" t="n">
        <x:f>2.5/LN(10)*H12/E12</x:f>
        <x:v>0.0020980777500412785</x:v>
      </x:c>
      <x:c r="P12" s="3" t="n">
        <x:f>SQRT(M12^2+N12^2)</x:f>
        <x:v>0.004685566958552502</x:v>
      </x:c>
      <x:c r="Q12" s="3" t="n">
        <x:f>SQRT(N12^2+O12^2)</x:f>
        <x:v>0.003281619383910379</x:v>
      </x:c>
      <x:c r="R12" s="23" t="n">
        <x:f>-(N12^2)</x:f>
        <x:v>-0.000006367095535638063</x:v>
      </x:c>
    </x:row>
    <x:row r="13" ht="20" customHeight="1">
      <x:c r="A13" s="12" t="n">
        <x:v>6</x:v>
      </x:c>
      <x:c r="B13" s="3" t="str">
        <x:v>C6</x:v>
      </x:c>
      <x:c r="C13" s="3" t="n">
        <x:v>205531.92183988544</x:v>
      </x:c>
      <x:c r="D13" s="3" t="n">
        <x:v>548129.3574156441</x:v>
      </x:c>
      <x:c r="E13" s="3" t="n">
        <x:v>731946.0589213378</x:v>
      </x:c>
      <x:c r="F13" s="3" t="n">
        <x:v>619.2444396096629</x:v>
      </x:c>
      <x:c r="G13" s="3" t="n">
        <x:v>951.3907937382786</x:v>
      </x:c>
      <x:c r="H13" s="3" t="n">
        <x:v>1037.0472693879717</x:v>
      </x:c>
      <x:c r="I13" s="3" t="n">
        <x:v>40889.3203125</x:v>
      </x:c>
      <x:c r="J13" s="3" t="str">
        <x:v>Included</x:v>
      </x:c>
      <x:c r="K13" s="3" t="n">
        <x:f>-2.5*LOG10(C13/D13)</x:f>
        <x:v>1.0650094500974425</x:v>
      </x:c>
      <x:c r="L13" s="3" t="n">
        <x:f>-2.5*LOG10(D13/E13)</x:f>
        <x:v>0.31399003380798496</x:v>
      </x:c>
      <x:c r="M13" s="3" t="n">
        <x:f>2.5/LN(10)*F13/C13</x:f>
        <x:v>0.0032712004133505683</x:v>
      </x:c>
      <x:c r="N13" s="3" t="n">
        <x:f>2.5/LN(10)*G13/D13</x:f>
        <x:v>0.0018845176155232537</x:v>
      </x:c>
      <x:c r="O13" s="3" t="n">
        <x:f>2.5/LN(10)*H13/E13</x:f>
        <x:v>0.0015383097602566429</x:v>
      </x:c>
      <x:c r="P13" s="3" t="n">
        <x:f>SQRT(M13^2+N13^2)</x:f>
        <x:v>0.0037752031451992593</x:v>
      </x:c>
      <x:c r="Q13" s="3" t="n">
        <x:f>SQRT(N13^2+O13^2)</x:f>
        <x:v>0.002432653604958647</x:v>
      </x:c>
      <x:c r="R13" s="23" t="n">
        <x:f>-(N13^2)</x:f>
        <x:v>-0.00000355140664321745</x:v>
      </x:c>
    </x:row>
    <x:row r="14" ht="20" customHeight="1">
      <x:c r="A14" s="12" t="n">
        <x:v>7</x:v>
      </x:c>
      <x:c r="B14" s="3" t="str">
        <x:v>C7</x:v>
      </x:c>
      <x:c r="C14" s="3" t="n">
        <x:v>119654.66326804867</x:v>
      </x:c>
      <x:c r="D14" s="3" t="n">
        <x:v>252116.16014407825</x:v>
      </x:c>
      <x:c r="E14" s="3" t="n">
        <x:v>300118.53929482447</x:v>
      </x:c>
      <x:c r="F14" s="3" t="n">
        <x:v>549.5105152843864</x:v>
      </x:c>
      <x:c r="G14" s="3" t="n">
        <x:v>786.5810478193965</x:v>
      </x:c>
      <x:c r="H14" s="3" t="n">
        <x:v>808.0698182592802</x:v>
      </x:c>
      <x:c r="I14" s="3" t="n">
        <x:v>18495.728515625</x:v>
      </x:c>
      <x:c r="J14" s="3" t="str">
        <x:v>Included</x:v>
      </x:c>
      <x:c r="K14" s="3" t="n">
        <x:f>-2.5*LOG10(C14/D14)</x:f>
        <x:v>0.8091776376568149</x:v>
      </x:c>
      <x:c r="L14" s="3" t="n">
        <x:f>-2.5*LOG10(D14/E14)</x:f>
        <x:v>0.18923035012649175</x:v>
      </x:c>
      <x:c r="M14" s="3" t="n">
        <x:f>2.5/LN(10)*F14/C14</x:f>
        <x:v>0.004986211527778122</x:v>
      </x:c>
      <x:c r="N14" s="3" t="n">
        <x:f>2.5/LN(10)*G14/D14</x:f>
        <x:v>0.0033874049212317564</x:v>
      </x:c>
      <x:c r="O14" s="3" t="n">
        <x:f>2.5/LN(10)*H14/E14</x:f>
        <x:v>0.002923347087180602</x:v>
      </x:c>
      <x:c r="P14" s="3" t="n">
        <x:f>SQRT(M14^2+N14^2)</x:f>
        <x:v>0.0060280027787097575</x:v>
      </x:c>
      <x:c r="Q14" s="3" t="n">
        <x:f>SQRT(N14^2+O14^2)</x:f>
        <x:v>0.00447442401796169</x:v>
      </x:c>
      <x:c r="R14" s="23" t="n">
        <x:f>-(N14^2)</x:f>
        <x:v>-0.000011474512100385122</x:v>
      </x:c>
    </x:row>
    <x:row r="15" ht="20" customHeight="1">
      <x:c r="A15" s="12" t="n">
        <x:v>8</x:v>
      </x:c>
      <x:c r="B15" s="3" t="str">
        <x:v>C8</x:v>
      </x:c>
      <x:c r="C15" s="3" t="n">
        <x:v>76431.04790189737</x:v>
      </x:c>
      <x:c r="D15" s="3" t="n">
        <x:v>312512.4676578956</x:v>
      </x:c>
      <x:c r="E15" s="3" t="n">
        <x:v>529037.8199849275</x:v>
      </x:c>
      <x:c r="F15" s="3" t="n">
        <x:v>503.50545807138604</x:v>
      </x:c>
      <x:c r="G15" s="3" t="n">
        <x:v>819.3622504644345</x:v>
      </x:c>
      <x:c r="H15" s="3" t="n">
        <x:v>934.4575592330306</x:v>
      </x:c>
      <x:c r="I15" s="3" t="n">
        <x:v>30344.767578125</x:v>
      </x:c>
      <x:c r="J15" s="3" t="str">
        <x:v>Included</x:v>
      </x:c>
      <x:c r="K15" s="3" t="n">
        <x:f>-2.5*LOG10(C15/D15)</x:f>
        <x:v>1.5289938354506698</x:v>
      </x:c>
      <x:c r="L15" s="3" t="n">
        <x:f>-2.5*LOG10(D15/E15)</x:f>
        <x:v>0.5715484298211625</x:v>
      </x:c>
      <x:c r="M15" s="3" t="n">
        <x:f>2.5/LN(10)*F15/C15</x:f>
        <x:v>0.007152513541657972</x:v>
      </x:c>
      <x:c r="N15" s="3" t="n">
        <x:f>2.5/LN(10)*G15/D15</x:f>
        <x:v>0.002846642461366322</x:v>
      </x:c>
      <x:c r="O15" s="3" t="n">
        <x:f>2.5/LN(10)*H15/E15</x:f>
        <x:v>0.001917772918197268</x:v>
      </x:c>
      <x:c r="P15" s="3" t="n">
        <x:f>SQRT(M15^2+N15^2)</x:f>
        <x:v>0.007698170124546117</x:v>
      </x:c>
      <x:c r="Q15" s="3" t="n">
        <x:f>SQRT(N15^2+O15^2)</x:f>
        <x:v>0.003432379097451879</x:v>
      </x:c>
      <x:c r="R15" s="23" t="n">
        <x:f>-(N15^2)</x:f>
        <x:v>-0.00000810337330285371</x:v>
      </x:c>
    </x:row>
    <x:row r="16" ht="20" customHeight="1">
      <x:c r="A16" s="12" t="n">
        <x:v>9</x:v>
      </x:c>
      <x:c r="B16" s="3" t="str">
        <x:v>C9</x:v>
      </x:c>
      <x:c r="C16" s="3" t="n">
        <x:v>175258.64659195687</x:v>
      </x:c>
      <x:c r="D16" s="3" t="n">
        <x:v>478264.97992314096</x:v>
      </x:c>
      <x:c r="E16" s="3" t="n">
        <x:v>679194.5497509391</x:v>
      </x:c>
      <x:c r="F16" s="3" t="n">
        <x:v>594.0159907019432</x:v>
      </x:c>
      <x:c r="G16" s="3" t="n">
        <x:v>914.8045871533815</x:v>
      </x:c>
      <x:c r="H16" s="3" t="n">
        <x:v>1012.052549136615</x:v>
      </x:c>
      <x:c r="I16" s="3" t="n">
        <x:v>33431.71875</x:v>
      </x:c>
      <x:c r="J16" s="3" t="str">
        <x:v>Included</x:v>
      </x:c>
      <x:c r="K16" s="3" t="n">
        <x:f>-2.5*LOG10(C16/D16)</x:f>
        <x:v>1.0899728200522776</x:v>
      </x:c>
      <x:c r="L16" s="3" t="n">
        <x:f>-2.5*LOG10(D16/E16)</x:f>
        <x:v>0.3808140265046025</x:v>
      </x:c>
      <x:c r="M16" s="3" t="n">
        <x:f>2.5/LN(10)*F16/C16</x:f>
        <x:v>0.003679959190897726</x:v>
      </x:c>
      <x:c r="N16" s="3" t="n">
        <x:f>2.5/LN(10)*G16/D16</x:f>
        <x:v>0.002076749296406475</x:v>
      </x:c>
      <x:c r="O16" s="3" t="n">
        <x:f>2.5/LN(10)*H16/E16</x:f>
        <x:v>0.0016178311414870995</x:v>
      </x:c>
      <x:c r="P16" s="3" t="n">
        <x:f>SQRT(M16^2+N16^2)</x:f>
        <x:v>0.004225516215422376</x:v>
      </x:c>
      <x:c r="Q16" s="3" t="n">
        <x:f>SQRT(N16^2+O16^2)</x:f>
        <x:v>0.00263253969438074</x:v>
      </x:c>
      <x:c r="R16" s="23" t="n">
        <x:f>-(N16^2)</x:f>
        <x:v>-0.000004312887640124789</x:v>
      </x:c>
    </x:row>
    <x:row r="17" ht="20" customHeight="1">
      <x:c r="A17" s="12" t="n">
        <x:v>10</x:v>
      </x:c>
      <x:c r="B17" s="3" t="str">
        <x:v>C10</x:v>
      </x:c>
      <x:c r="C17" s="3" t="n">
        <x:v>302661.040881656</x:v>
      </x:c>
      <x:c r="D17" s="3" t="n">
        <x:v>804830.7455429165</x:v>
      </x:c>
      <x:c r="E17" s="3" t="n">
        <x:v>1112129.8275569086</x:v>
      </x:c>
      <x:c r="F17" s="3" t="n">
        <x:v>691.2928136629941</x:v>
      </x:c>
      <x:c r="G17" s="3" t="n">
        <x:v>1075.5673742249467</x:v>
      </x:c>
      <x:c r="H17" s="3" t="n">
        <x:v>1205.6149383771362</x:v>
      </x:c>
      <x:c r="I17" s="3" t="n">
        <x:v>48980.625</x:v>
      </x:c>
      <x:c r="J17" s="3" t="str">
        <x:v>Excluded: nonlinear R peak</x:v>
      </x:c>
      <x:c r="K17" s="3" t="n">
        <x:f>-2.5*LOG10(C17/D17)</x:f>
        <x:v>1.061870093247455</x:v>
      </x:c>
      <x:c r="L17" s="3" t="n">
        <x:f>-2.5*LOG10(D17/E17)</x:f>
        <x:v>0.35112732538263497</x:v>
      </x:c>
      <x:c r="M17" s="3" t="n">
        <x:f>2.5/LN(10)*F17/C17</x:f>
        <x:v>0.00247987528786867</x:v>
      </x:c>
      <x:c r="N17" s="3" t="n">
        <x:f>2.5/LN(10)*G17/D17</x:f>
        <x:v>0.0014509664862081117</x:v>
      </x:c>
      <x:c r="O17" s="3" t="n">
        <x:f>2.5/LN(10)*H17/E17</x:f>
        <x:v>0.0011770026800457488</x:v>
      </x:c>
      <x:c r="P17" s="3" t="n">
        <x:f>SQRT(M17^2+N17^2)</x:f>
        <x:v>0.0028731664044187965</x:v>
      </x:c>
      <x:c r="Q17" s="3" t="n">
        <x:f>SQRT(N17^2+O17^2)</x:f>
        <x:v>0.0018683251999943664</x:v>
      </x:c>
      <x:c r="R17" s="23" t="n">
        <x:f>-(N17^2)</x:f>
        <x:v>-0.0000021053037440991143</x:v>
      </x:c>
    </x:row>
    <x:row r="18" ht="20" customHeight="1">
      <x:c r="A18" s="12" t="n">
        <x:v>11</x:v>
      </x:c>
      <x:c r="B18" s="3" t="str">
        <x:v>C11</x:v>
      </x:c>
      <x:c r="C18" s="3" t="n">
        <x:v>338622.4925867847</x:v>
      </x:c>
      <x:c r="D18" s="3" t="n">
        <x:v>1020953.2299122848</x:v>
      </x:c>
      <x:c r="E18" s="3" t="n">
        <x:v>1473550.7747245228</x:v>
      </x:c>
      <x:c r="F18" s="3" t="n">
        <x:v>726.0978315731443</x:v>
      </x:c>
      <x:c r="G18" s="3" t="n">
        <x:v>1184.4312731359307</x:v>
      </x:c>
      <x:c r="H18" s="3" t="n">
        <x:v>1359.4465714643698</x:v>
      </x:c>
      <x:c r="I18" s="3" t="n">
        <x:v>48980.625</x:v>
      </x:c>
      <x:c r="J18" s="3" t="str">
        <x:v>Excluded: nonlinear R peak</x:v>
      </x:c>
      <x:c r="K18" s="3" t="n">
        <x:f>-2.5*LOG10(C18/D18)</x:f>
        <x:v>1.1982251130136499</x:v>
      </x:c>
      <x:c r="L18" s="3" t="n">
        <x:f>-2.5*LOG10(D18/E18)</x:f>
        <x:v>0.39839814420650255</x:v>
      </x:c>
      <x:c r="M18" s="3" t="n">
        <x:f>2.5/LN(10)*F18/C18</x:f>
        <x:v>0.0023281108644408453</x:v>
      </x:c>
      <x:c r="N18" s="3" t="n">
        <x:f>2.5/LN(10)*G18/D18</x:f>
        <x:v>0.0012595874890389738</x:v>
      </x:c>
      <x:c r="O18" s="3" t="n">
        <x:f>2.5/LN(10)*H18/E18</x:f>
        <x:v>0.001001662369828492</x:v>
      </x:c>
      <x:c r="P18" s="3" t="n">
        <x:f>SQRT(M18^2+N18^2)</x:f>
        <x:v>0.002647009792137348</x:v>
      </x:c>
      <x:c r="Q18" s="3" t="n">
        <x:f>SQRT(N18^2+O18^2)</x:f>
        <x:v>0.0016093129421196916</x:v>
      </x:c>
      <x:c r="R18" s="23" t="n">
        <x:f>-(N18^2)</x:f>
        <x:v>-0.0000015865606425435069</x:v>
      </x:c>
    </x:row>
    <x:row r="19" ht="20" customHeight="1">
      <x:c r="A19" s="12" t="n">
        <x:v>12</x:v>
      </x:c>
      <x:c r="B19" s="3" t="str">
        <x:v>C12</x:v>
      </x:c>
      <x:c r="C19" s="3" t="n">
        <x:v>256088.43760672802</x:v>
      </x:c>
      <x:c r="D19" s="3" t="n">
        <x:v>602996.065739081</x:v>
      </x:c>
      <x:c r="E19" s="3" t="n">
        <x:v>756523.4151371496</x:v>
      </x:c>
      <x:c r="F19" s="3" t="n">
        <x:v>656.9764648161575</x:v>
      </x:c>
      <x:c r="G19" s="3" t="n">
        <x:v>977.6365919406913</x:v>
      </x:c>
      <x:c r="H19" s="3" t="n">
        <x:v>1045.6637749085783</x:v>
      </x:c>
      <x:c r="I19" s="3" t="n">
        <x:v>43256.69140625</x:v>
      </x:c>
      <x:c r="J19" s="3" t="str">
        <x:v>Included</x:v>
      </x:c>
      <x:c r="K19" s="3" t="n">
        <x:f>-2.5*LOG10(C19/D19)</x:f>
        <x:v>0.92981127017734</x:v>
      </x:c>
      <x:c r="L19" s="3" t="n">
        <x:f>-2.5*LOG10(D19/E19)</x:f>
        <x:v>0.24626973954791975</x:v>
      </x:c>
      <x:c r="M19" s="3" t="n">
        <x:f>2.5/LN(10)*F19/C19</x:f>
        <x:v>0.002785378130270445</x:v>
      </x:c>
      <x:c r="N19" s="3" t="n">
        <x:f>2.5/LN(10)*G19/D19</x:f>
        <x:v>0.0017603024352494776</x:v>
      </x:c>
      <x:c r="O19" s="3" t="n">
        <x:f>2.5/LN(10)*H19/E19</x:f>
        <x:v>0.0015007004353149837</x:v>
      </x:c>
      <x:c r="P19" s="3" t="n">
        <x:f>SQRT(M19^2+N19^2)</x:f>
        <x:v>0.003294995598196471</x:v>
      </x:c>
      <x:c r="Q19" s="3" t="n">
        <x:f>SQRT(N19^2+O19^2)</x:f>
        <x:v>0.0023131723801091486</x:v>
      </x:c>
      <x:c r="R19" s="23" t="n">
        <x:f>-(N19^2)</x:f>
        <x:v>-0.0000030986646635452414</x:v>
      </x:c>
    </x:row>
    <x:row r="20" ht="2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</x:row>
    <x:row r="21" ht="2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</x:row>
    <x:row r="22" ht="20" customHeight="1">
      <x:c r="A22" s="3" t="str">
        <x:v>Exported AIJ errors are formal estimates. Stack variance and calibration systematics are not validated.</x:v>
      </x:c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</x:row>
    <x:row r="25" ht="34" customHeight="1">
      <x:c r="A25" s="7" t="str">
        <x:v>Retained star</x:v>
      </x:c>
      <x:c r="B25" s="7" t="str">
        <x:v>B-V (mag)</x:v>
      </x:c>
      <x:c r="C25" s="7" t="str">
        <x:v>V-R (mag)</x:v>
      </x:c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</x:row>
    <x:row r="26" ht="20" customHeight="1">
      <x:c r="A26" s="3" t="n">
        <x:f>A8</x:f>
        <x:v>1</x:v>
      </x:c>
      <x:c r="B26" s="3" t="n">
        <x:f>K8</x:f>
        <x:v>0.816731651934855</x:v>
      </x:c>
      <x:c r="C26" s="3" t="n">
        <x:f>L8</x:f>
        <x:v>0.19646438150739248</x:v>
      </x:c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</x:row>
    <x:row r="27" ht="20" customHeight="1">
      <x:c r="A27" s="3" t="n">
        <x:f>A9</x:f>
        <x:v>2</x:v>
      </x:c>
      <x:c r="B27" s="3" t="n">
        <x:f>K9</x:f>
        <x:v>0.928033093128765</x:v>
      </x:c>
      <x:c r="C27" s="3" t="n">
        <x:f>L9</x:f>
        <x:v>0.31280303468475246</x:v>
      </x:c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</x:row>
    <x:row r="28" ht="20" customHeight="1">
      <x:c r="A28" s="3" t="n">
        <x:f>A10</x:f>
        <x:v>3</x:v>
      </x:c>
      <x:c r="B28" s="3" t="n">
        <x:f>K10</x:f>
        <x:v>0.89940474284181</x:v>
      </x:c>
      <x:c r="C28" s="3" t="n">
        <x:f>L10</x:f>
        <x:v>0.29159036257627746</x:v>
      </x:c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</x:row>
    <x:row r="29" ht="20" customHeight="1">
      <x:c r="A29" s="3" t="n">
        <x:f>A11</x:f>
        <x:v>4</x:v>
      </x:c>
      <x:c r="B29" s="3" t="n">
        <x:f>K11</x:f>
        <x:v>0.8836115119917349</x:v>
      </x:c>
      <x:c r="C29" s="3" t="n">
        <x:f>L11</x:f>
        <x:v>0.2916766031689575</x:v>
      </x:c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</x:row>
    <x:row r="30" ht="20" customHeight="1">
      <x:c r="A30" s="3" t="n">
        <x:f>A12</x:f>
        <x:v>5</x:v>
      </x:c>
      <x:c r="B30" s="3" t="n">
        <x:f>K12</x:f>
        <x:v>0.9010417071327701</x:v>
      </x:c>
      <x:c r="C30" s="3" t="n">
        <x:f>L12</x:f>
        <x:v>0.26278767983984497</x:v>
      </x:c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</x:row>
    <x:row r="31" ht="20" customHeight="1">
      <x:c r="A31" s="3" t="n">
        <x:f>A13</x:f>
        <x:v>6</x:v>
      </x:c>
      <x:c r="B31" s="3" t="n">
        <x:f>K13</x:f>
        <x:v>1.0650094500974425</x:v>
      </x:c>
      <x:c r="C31" s="3" t="n">
        <x:f>L13</x:f>
        <x:v>0.31399003380798496</x:v>
      </x:c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</x:row>
    <x:row r="32" ht="20" customHeight="1">
      <x:c r="A32" s="3" t="n">
        <x:f>A14</x:f>
        <x:v>7</x:v>
      </x:c>
      <x:c r="B32" s="3" t="n">
        <x:f>K14</x:f>
        <x:v>0.8091776376568149</x:v>
      </x:c>
      <x:c r="C32" s="3" t="n">
        <x:f>L14</x:f>
        <x:v>0.18923035012649175</x:v>
      </x:c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 ht="20" customHeight="1">
      <x:c r="A33" s="3" t="n">
        <x:f>A15</x:f>
        <x:v>8</x:v>
      </x:c>
      <x:c r="B33" s="3" t="n">
        <x:f>K15</x:f>
        <x:v>1.5289938354506698</x:v>
      </x:c>
      <x:c r="C33" s="3" t="n">
        <x:f>L15</x:f>
        <x:v>0.5715484298211625</x:v>
      </x:c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</x:row>
    <x:row r="34" ht="20" customHeight="1">
      <x:c r="A34" s="3" t="n">
        <x:f>A16</x:f>
        <x:v>9</x:v>
      </x:c>
      <x:c r="B34" s="3" t="n">
        <x:f>K16</x:f>
        <x:v>1.0899728200522776</x:v>
      </x:c>
      <x:c r="C34" s="3" t="n">
        <x:f>L16</x:f>
        <x:v>0.3808140265046025</x:v>
      </x:c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</x:row>
    <x:row r="35" ht="20" customHeight="1">
      <x:c r="A35" s="3" t="n">
        <x:f>A19</x:f>
        <x:v>12</x:v>
      </x:c>
      <x:c r="B35" s="3" t="n">
        <x:f>K19</x:f>
        <x:v>0.92981127017734</x:v>
      </x:c>
      <x:c r="C35" s="3" t="n">
        <x:f>L19</x:f>
        <x:v>0.24626973954791975</x:v>
      </x:c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</x:row>
    <x:row r="36" ht="2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</x:row>
    <x:row r="38" ht="2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</x:row>
    <x:row r="40" ht="2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</x:row>
  </x:sheetData>
  <x:pageMargins left="0.7" right="0.7" top="0.75" bottom="0.75" header="0.3" footer="0.3"/>
  <x:drawing xmlns:r="http://schemas.openxmlformats.org/officeDocument/2006/relationships" r:id="Rd5567e64b34c4a1d"/>
</x:worksheet>
</file>

<file path=xl/worksheets/sheet8.xml><?xml version="1.0" encoding="utf-8"?>
<x:worksheet xmlns:x="http://schemas.openxmlformats.org/spreadsheetml/2006/main">
  <x:sheetViews>
    <x:sheetView showGridLines="1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0" customHeight="1">
      <x:c r="A2" s="4" t="str">
        <x:v>Exercise E: Plate scale and angular size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0" customHeight="1">
      <x:c r="A4" s="5" t="str">
        <x:v>Source: E_verified_repeats.csv; catalog separations/epochs are the WDS values adopted in the report.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 ht="20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34" customHeight="1">
      <x:c r="A7" s="7" t="str">
        <x:v>Target</x:v>
      </x:c>
      <x:c r="B7" s="7" t="str">
        <x:v>Image</x:v>
      </x:c>
      <x:c r="C7" s="7" t="str">
        <x:v>x1 (pix)</x:v>
      </x:c>
      <x:c r="D7" s="7" t="str">
        <x:v>y1 (pix)</x:v>
      </x:c>
      <x:c r="E7" s="7" t="str">
        <x:v>x2 (pix)</x:v>
      </x:c>
      <x:c r="F7" s="7" t="str">
        <x:v>y2 (pix)</x:v>
      </x:c>
      <x:c r="G7" s="7" t="str">
        <x:v>WDS sep (arcsec)</x:v>
      </x:c>
      <x:c r="H7" s="7" t="str">
        <x:v>WDS epoch</x:v>
      </x:c>
      <x:c r="I7" s="7" t="str">
        <x:v>Distance (pix)</x:v>
      </x:c>
      <x:c r="J7" s="7" t="str">
        <x:v>Scale (arcsec/pix)</x:v>
      </x:c>
      <x:c r="K7" s="3"/>
      <x:c r="L7" s="3"/>
    </x:row>
    <x:row r="8" ht="20" customHeight="1">
      <x:c r="A8" s="3" t="str">
        <x:v>HR6200</x:v>
      </x:c>
      <x:c r="B8" s="12" t="n">
        <x:v>1</x:v>
      </x:c>
      <x:c r="C8" s="3" t="n">
        <x:v>744.8426763467418</x:v>
      </x:c>
      <x:c r="D8" s="3" t="n">
        <x:v>886.4694746576968</x:v>
      </x:c>
      <x:c r="E8" s="3" t="n">
        <x:v>722.5199023861171</x:v>
      </x:c>
      <x:c r="F8" s="3" t="n">
        <x:v>889.7116129032258</x:v>
      </x:c>
      <x:c r="G8" s="3" t="n">
        <x:v>28.1</x:v>
      </x:c>
      <x:c r="H8" s="12" t="n">
        <x:v>2020</x:v>
      </x:c>
      <x:c r="I8" s="3" t="n">
        <x:f>SQRT((E8-C8)^2+(F8-D8)^2)</x:f>
        <x:v>22.55698777984917</x:v>
      </x:c>
      <x:c r="J8" s="3" t="n">
        <x:f>G8/I8</x:f>
        <x:v>1.2457337067453027</x:v>
      </x:c>
      <x:c r="K8" s="3"/>
      <x:c r="L8" s="3"/>
    </x:row>
    <x:row r="9" ht="20" customHeight="1">
      <x:c r="A9" s="3" t="str">
        <x:v>HR6200</x:v>
      </x:c>
      <x:c r="B9" s="12" t="n">
        <x:v>2</x:v>
      </x:c>
      <x:c r="C9" s="3" t="n">
        <x:v>747.3381779511011</x:v>
      </x:c>
      <x:c r="D9" s="3" t="n">
        <x:v>884.0726254048242</x:v>
      </x:c>
      <x:c r="E9" s="3" t="n">
        <x:v>724.7581690966371</x:v>
      </x:c>
      <x:c r="F9" s="3" t="n">
        <x:v>887.1661610015503</x:v>
      </x:c>
      <x:c r="G9" s="3" t="n">
        <x:v>28.1</x:v>
      </x:c>
      <x:c r="H9" s="12" t="n">
        <x:v>2020</x:v>
      </x:c>
      <x:c r="I9" s="3" t="n">
        <x:f>SQRT((E9-C9)^2+(F9-D9)^2)</x:f>
        <x:v>22.790935969281435</x:v>
      </x:c>
      <x:c r="J9" s="3" t="n">
        <x:f>G9/I9</x:f>
        <x:v>1.2329462922397896</x:v>
      </x:c>
      <x:c r="K9" s="3"/>
      <x:c r="L9" s="3"/>
    </x:row>
    <x:row r="10" ht="20" customHeight="1">
      <x:c r="A10" s="3" t="str">
        <x:v>HR6200</x:v>
      </x:c>
      <x:c r="B10" s="12" t="n">
        <x:v>3</x:v>
      </x:c>
      <x:c r="C10" s="3" t="n">
        <x:v>747.7055490110977</x:v>
      </x:c>
      <x:c r="D10" s="3" t="n">
        <x:v>883.4924102992399</x:v>
      </x:c>
      <x:c r="E10" s="3" t="n">
        <x:v>725.1854320213266</x:v>
      </x:c>
      <x:c r="F10" s="3" t="n">
        <x:v>886.6932729173928</x:v>
      </x:c>
      <x:c r="G10" s="3" t="n">
        <x:v>28.1</x:v>
      </x:c>
      <x:c r="H10" s="12" t="n">
        <x:v>2020</x:v>
      </x:c>
      <x:c r="I10" s="3" t="n">
        <x:f>SQRT((E10-C10)^2+(F10-D10)^2)</x:f>
        <x:v>22.746454465108712</x:v>
      </x:c>
      <x:c r="J10" s="3" t="n">
        <x:f>G10/I10</x:f>
        <x:v>1.2353573627530923</x:v>
      </x:c>
      <x:c r="K10" s="3"/>
      <x:c r="L10" s="3"/>
    </x:row>
    <x:row r="11" ht="20" customHeight="1">
      <x:c r="A11" s="3" t="str">
        <x:v>HR7751</x:v>
      </x:c>
      <x:c r="B11" s="12" t="n">
        <x:v>1</x:v>
      </x:c>
      <x:c r="C11" s="3" t="n">
        <x:v>737.9333475163991</x:v>
      </x:c>
      <x:c r="D11" s="3" t="n">
        <x:v>900.0437162689259</x:v>
      </x:c>
      <x:c r="E11" s="3" t="n">
        <x:v>715.9955944763756</x:v>
      </x:c>
      <x:c r="F11" s="3" t="n">
        <x:v>735.0378784335512</x:v>
      </x:c>
      <x:c r="G11" s="3" t="n">
        <x:v>208.5</x:v>
      </x:c>
      <x:c r="H11" s="12" t="n">
        <x:v>2015</x:v>
      </x:c>
      <x:c r="I11" s="3" t="n">
        <x:f>SQRT((E11-C11)^2+(F11-D11)^2)</x:f>
        <x:v>166.45777701326853</x:v>
      </x:c>
      <x:c r="J11" s="3" t="n">
        <x:f>G11/I11</x:f>
        <x:v>1.2525698933452671</x:v>
      </x:c>
      <x:c r="K11" s="3"/>
      <x:c r="L11" s="3"/>
    </x:row>
    <x:row r="12" ht="20" customHeight="1">
      <x:c r="A12" s="3" t="str">
        <x:v>HR7751</x:v>
      </x:c>
      <x:c r="B12" s="12" t="n">
        <x:v>2</x:v>
      </x:c>
      <x:c r="C12" s="3" t="n">
        <x:v>738.3005058106545</x:v>
      </x:c>
      <x:c r="D12" s="3" t="n">
        <x:v>899.8019685560396</x:v>
      </x:c>
      <x:c r="E12" s="3" t="n">
        <x:v>716.1892876410935</x:v>
      </x:c>
      <x:c r="F12" s="3" t="n">
        <x:v>734.9376213776682</x:v>
      </x:c>
      <x:c r="G12" s="3" t="n">
        <x:v>208.5</x:v>
      </x:c>
      <x:c r="H12" s="12" t="n">
        <x:v>2015</x:v>
      </x:c>
      <x:c r="I12" s="3" t="n">
        <x:f>SQRT((E12-C12)^2+(F12-D12)^2)</x:f>
        <x:v>166.3404909800753</x:v>
      </x:c>
      <x:c r="J12" s="3" t="n">
        <x:f>G12/I12</x:f>
        <x:v>1.2534530755050777</x:v>
      </x:c>
      <x:c r="K12" s="3"/>
      <x:c r="L12" s="3"/>
    </x:row>
    <x:row r="13" ht="20" customHeight="1">
      <x:c r="A13" s="3" t="str">
        <x:v>HR7751</x:v>
      </x:c>
      <x:c r="B13" s="12" t="n">
        <x:v>3</x:v>
      </x:c>
      <x:c r="C13" s="3" t="n">
        <x:v>738.8181564774985</x:v>
      </x:c>
      <x:c r="D13" s="3" t="n">
        <x:v>900.1970051742783</x:v>
      </x:c>
      <x:c r="E13" s="3" t="n">
        <x:v>716.8256209876947</x:v>
      </x:c>
      <x:c r="F13" s="3" t="n">
        <x:v>735.1638470270078</x:v>
      </x:c>
      <x:c r="G13" s="3" t="n">
        <x:v>208.5</x:v>
      </x:c>
      <x:c r="H13" s="12" t="n">
        <x:v>2015</x:v>
      </x:c>
      <x:c r="I13" s="3" t="n">
        <x:f>SQRT((E13-C13)^2+(F13-D13)^2)</x:f>
        <x:v>166.49208661474654</x:v>
      </x:c>
      <x:c r="J13" s="3" t="n">
        <x:f>G13/I13</x:f>
        <x:v>1.252311771924977</x:v>
      </x:c>
      <x:c r="K13" s="3"/>
      <x:c r="L13" s="3"/>
    </x:row>
    <x:row r="14" ht="20" customHeight="1">
      <x:c r="A14" s="3" t="str">
        <x:v>HR8815</x:v>
      </x:c>
      <x:c r="B14" s="12" t="n">
        <x:v>1</x:v>
      </x:c>
      <x:c r="C14" s="3" t="n">
        <x:v>597.4132545210787</x:v>
      </x:c>
      <x:c r="D14" s="3" t="n">
        <x:v>821.0777533442913</x:v>
      </x:c>
      <x:c r="E14" s="3" t="n">
        <x:v>605.0864859442228</x:v>
      </x:c>
      <x:c r="F14" s="3" t="n">
        <x:v>796.8418304668305</x:v>
      </x:c>
      <x:c r="G14" s="3" t="n">
        <x:v>32.6</x:v>
      </x:c>
      <x:c r="H14" s="12" t="n">
        <x:v>2015</x:v>
      </x:c>
      <x:c r="I14" s="3" t="n">
        <x:f>SQRT((E14-C14)^2+(F14-D14)^2)</x:f>
        <x:v>25.42161360329735</x:v>
      </x:c>
      <x:c r="J14" s="3" t="n">
        <x:f>G14/I14</x:f>
        <x:v>1.2823733579119292</x:v>
      </x:c>
      <x:c r="K14" s="3"/>
      <x:c r="L14" s="3"/>
    </x:row>
    <x:row r="15" ht="20" customHeight="1">
      <x:c r="A15" s="3" t="str">
        <x:v>HR8815</x:v>
      </x:c>
      <x:c r="B15" s="12" t="n">
        <x:v>2</x:v>
      </x:c>
      <x:c r="C15" s="3" t="n">
        <x:v>597.7210461400387</x:v>
      </x:c>
      <x:c r="D15" s="3" t="n">
        <x:v>821.2937894226422</x:v>
      </x:c>
      <x:c r="E15" s="3" t="n">
        <x:v>605.382189350531</x:v>
      </x:c>
      <x:c r="F15" s="3" t="n">
        <x:v>796.982404494382</x:v>
      </x:c>
      <x:c r="G15" s="3" t="n">
        <x:v>32.6</x:v>
      </x:c>
      <x:c r="H15" s="12" t="n">
        <x:v>2015</x:v>
      </x:c>
      <x:c r="I15" s="3" t="n">
        <x:f>SQRT((E15-C15)^2+(F15-D15)^2)</x:f>
        <x:v>25.4899304122572</x:v>
      </x:c>
      <x:c r="J15" s="3" t="n">
        <x:f>G15/I15</x:f>
        <x:v>1.278936406367113</x:v>
      </x:c>
      <x:c r="K15" s="3"/>
      <x:c r="L15" s="3"/>
    </x:row>
    <x:row r="16" ht="20" customHeight="1">
      <x:c r="A16" s="3" t="str">
        <x:v>HR8815</x:v>
      </x:c>
      <x:c r="B16" s="12" t="n">
        <x:v>3</x:v>
      </x:c>
      <x:c r="C16" s="3" t="n">
        <x:v>598.3384645890266</x:v>
      </x:c>
      <x:c r="D16" s="3" t="n">
        <x:v>821.6807292891049</x:v>
      </x:c>
      <x:c r="E16" s="3" t="n">
        <x:v>605.8964262522671</x:v>
      </x:c>
      <x:c r="F16" s="3" t="n">
        <x:v>797.5301744007376</x:v>
      </x:c>
      <x:c r="G16" s="3" t="n">
        <x:v>32.6</x:v>
      </x:c>
      <x:c r="H16" s="12" t="n">
        <x:v>2015</x:v>
      </x:c>
      <x:c r="I16" s="3" t="n">
        <x:f>SQRT((E16-C16)^2+(F16-D16)^2)</x:f>
        <x:v>25.30557420646796</x:v>
      </x:c>
      <x:c r="J16" s="3" t="n">
        <x:f>G16/I16</x:f>
        <x:v>1.2882537157235352</x:v>
      </x:c>
      <x:c r="K16" s="3"/>
      <x:c r="L16" s="3"/>
    </x:row>
    <x:row r="17" ht="20" customHeight="1">
      <x:c r="A17" s="3" t="str">
        <x:v>HR7310</x:v>
      </x:c>
      <x:c r="B17" s="12" t="n">
        <x:v>1</x:v>
      </x:c>
      <x:c r="C17" s="3" t="n">
        <x:v>683.1545755761997</x:v>
      </x:c>
      <x:c r="D17" s="3" t="n">
        <x:v>919.4353765218366</x:v>
      </x:c>
      <x:c r="E17" s="3" t="n">
        <x:v>707.6996574904225</x:v>
      </x:c>
      <x:c r="F17" s="3" t="n">
        <x:v>979.6769805589414</x:v>
      </x:c>
      <x:c r="G17" s="3" t="n">
        <x:v>80.4</x:v>
      </x:c>
      <x:c r="H17" s="12" t="n">
        <x:v>2021</x:v>
      </x:c>
      <x:c r="I17" s="3" t="n">
        <x:f>SQRT((E17-C17)^2+(F17-D17)^2)</x:f>
        <x:v>65.05007227620298</x:v>
      </x:c>
      <x:c r="J17" s="3" t="n">
        <x:f>G17/I17</x:f>
        <x:v>1.2359709557065692</x:v>
      </x:c>
      <x:c r="K17" s="3"/>
      <x:c r="L17" s="3"/>
    </x:row>
    <x:row r="18" ht="20" customHeight="1">
      <x:c r="A18" s="3" t="str">
        <x:v>HR7310</x:v>
      </x:c>
      <x:c r="B18" s="12" t="n">
        <x:v>2</x:v>
      </x:c>
      <x:c r="C18" s="3" t="n">
        <x:v>682.2216866777769</x:v>
      </x:c>
      <x:c r="D18" s="3" t="n">
        <x:v>918.2451830039284</x:v>
      </x:c>
      <x:c r="E18" s="3" t="n">
        <x:v>706.9657351267902</x:v>
      </x:c>
      <x:c r="F18" s="3" t="n">
        <x:v>978.7896414053901</x:v>
      </x:c>
      <x:c r="G18" s="3" t="n">
        <x:v>80.4</x:v>
      </x:c>
      <x:c r="H18" s="12" t="n">
        <x:v>2021</x:v>
      </x:c>
      <x:c r="I18" s="3" t="n">
        <x:f>SQRT((E18-C18)^2+(F18-D18)^2)</x:f>
        <x:v>65.40565248335521</x:v>
      </x:c>
      <x:c r="J18" s="3" t="n">
        <x:f>G18/I18</x:f>
        <x:v>1.22925155467963</x:v>
      </x:c>
      <x:c r="K18" s="3"/>
      <x:c r="L18" s="3"/>
    </x:row>
    <x:row r="19" ht="20" customHeight="1">
      <x:c r="A19" s="3" t="str">
        <x:v>HR7310</x:v>
      </x:c>
      <x:c r="B19" s="12" t="n">
        <x:v>3</x:v>
      </x:c>
      <x:c r="C19" s="3" t="n">
        <x:v>682.1107292532738</x:v>
      </x:c>
      <x:c r="D19" s="3" t="n">
        <x:v>918.3174531320249</x:v>
      </x:c>
      <x:c r="E19" s="3" t="n">
        <x:v>706.6802118329379</x:v>
      </x:c>
      <x:c r="F19" s="3" t="n">
        <x:v>978.9313573452526</x:v>
      </x:c>
      <x:c r="G19" s="3" t="n">
        <x:v>80.4</x:v>
      </x:c>
      <x:c r="H19" s="12" t="n">
        <x:v>2021</x:v>
      </x:c>
      <x:c r="I19" s="3" t="n">
        <x:f>SQRT((E19-C19)^2+(F19-D19)^2)</x:f>
        <x:v>65.40416544993727</x:v>
      </x:c>
      <x:c r="J19" s="3" t="n">
        <x:f>G19/I19</x:f>
        <x:v>1.2292795030240253</x:v>
      </x:c>
      <x:c r="K19" s="3"/>
      <x:c r="L19" s="3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34" customHeight="1">
      <x:c r="A23" s="7" t="str">
        <x:v>Target</x:v>
      </x:c>
      <x:c r="B23" s="7" t="str">
        <x:v>Mean dist (pix)</x:v>
      </x:c>
      <x:c r="C23" s="7" t="str">
        <x:v>Distance SEM</x:v>
      </x:c>
      <x:c r="D23" s="7" t="str">
        <x:v>Mean scale</x:v>
      </x:c>
      <x:c r="E23" s="7" t="str">
        <x:v>Scale SEM</x:v>
      </x:c>
      <x:c r="F23" s="3"/>
      <x:c r="G23" s="3"/>
      <x:c r="H23" s="3"/>
      <x:c r="I23" s="3"/>
      <x:c r="J23" s="3"/>
      <x:c r="K23" s="3"/>
      <x:c r="L23" s="3"/>
    </x:row>
    <x:row r="24" ht="20" customHeight="1">
      <x:c r="A24" s="3" t="str">
        <x:v>HR6200</x:v>
      </x:c>
      <x:c r="B24" s="3" t="n">
        <x:f>AVERAGE(I8:I10)</x:f>
        <x:v>22.698126071413103</x:v>
      </x:c>
      <x:c r="C24" s="3" t="n">
        <x:f>STDEV(I8:I10)/SQRT(3)</x:f>
        <x:v>0.07172787478276708</x:v>
      </x:c>
      <x:c r="D24" s="26" t="n">
        <x:f>AVERAGE(J8:J10)</x:f>
        <x:v>1.2380124539127282</x:v>
      </x:c>
      <x:c r="E24" s="26" t="n">
        <x:f>STDEV(J8:J10)/SQRT(3)</x:f>
        <x:v>0.003922865629164242</x:v>
      </x:c>
      <x:c r="F24" s="3"/>
      <x:c r="G24" s="3"/>
      <x:c r="H24" s="3"/>
      <x:c r="I24" s="3"/>
      <x:c r="J24" s="3"/>
      <x:c r="K24" s="3"/>
      <x:c r="L24" s="3"/>
    </x:row>
    <x:row r="25" ht="20" customHeight="1">
      <x:c r="A25" s="3" t="str">
        <x:v>HR7751</x:v>
      </x:c>
      <x:c r="B25" s="3" t="n">
        <x:f>AVERAGE(I11:I13)</x:f>
        <x:v>166.43011820269678</x:v>
      </x:c>
      <x:c r="C25" s="3" t="n">
        <x:f>STDEV(I11:I13)/SQRT(3)</x:f>
        <x:v>0.045895048623744404</x:v>
      </x:c>
      <x:c r="D25" s="26" t="n">
        <x:f>AVERAGE(J11:J13)</x:f>
        <x:v>1.2527782469251072</x:v>
      </x:c>
      <x:c r="E25" s="26" t="n">
        <x:f>STDEV(J11:J13)/SQRT(3)</x:f>
        <x:v>0.00034554395579617264</x:v>
      </x:c>
      <x:c r="F25" s="3"/>
      <x:c r="G25" s="3"/>
      <x:c r="H25" s="3"/>
      <x:c r="I25" s="3"/>
      <x:c r="J25" s="3"/>
      <x:c r="K25" s="3"/>
      <x:c r="L25" s="3"/>
    </x:row>
    <x:row r="26" ht="20" customHeight="1">
      <x:c r="A26" s="3" t="str">
        <x:v>HR8815</x:v>
      </x:c>
      <x:c r="B26" s="3" t="n">
        <x:f>AVERAGE(I14:I16)</x:f>
        <x:v>25.4057060740075</x:v>
      </x:c>
      <x:c r="C26" s="3" t="n">
        <x:f>STDEV(I14:I16)/SQRT(3)</x:f>
        <x:v>0.05381012844354235</x:v>
      </x:c>
      <x:c r="D26" s="26" t="n">
        <x:f>AVERAGE(J14:J16)</x:f>
        <x:v>1.2831878266675258</x:v>
      </x:c>
      <x:c r="E26" s="26" t="n">
        <x:f>STDEV(J14:J16)/SQRT(3)</x:f>
        <x:v>0.0027203298161681795</x:v>
      </x:c>
      <x:c r="F26" s="3"/>
      <x:c r="G26" s="3"/>
      <x:c r="H26" s="3"/>
      <x:c r="I26" s="3"/>
      <x:c r="J26" s="3"/>
      <x:c r="K26" s="3"/>
      <x:c r="L26" s="3"/>
    </x:row>
    <x:row r="27" ht="20" customHeight="1">
      <x:c r="A27" s="3" t="str">
        <x:v>HR7310</x:v>
      </x:c>
      <x:c r="B27" s="3" t="n">
        <x:f>AVERAGE(I17:I19)</x:f>
        <x:v>65.28663006983182</x:v>
      </x:c>
      <x:c r="C27" s="3" t="n">
        <x:f>STDEV(I17:I19)/SQRT(3)</x:f>
        <x:v>0.11827967578583178</x:v>
      </x:c>
      <x:c r="D27" s="26" t="n">
        <x:f>AVERAGE(J17:J19)</x:f>
        <x:v>1.2315006711367416</x:v>
      </x:c>
      <x:c r="E27" s="26" t="n">
        <x:f>STDEV(J17:J19)/SQRT(3)</x:f>
        <x:v>0.0022351568460191014</x:v>
      </x:c>
      <x:c r="F27" s="3"/>
      <x:c r="G27" s="3"/>
      <x:c r="H27" s="3"/>
      <x:c r="I27" s="3"/>
      <x:c r="J27" s="3"/>
      <x:c r="K27" s="3"/>
      <x:c r="L27" s="3"/>
    </x:row>
    <x:row r="28" ht="2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0" customHeight="1">
      <x:c r="A30" s="3" t="str">
        <x:v>Equal-binary mean scale</x:v>
      </x:c>
      <x:c r="B30" s="3"/>
      <x:c r="C30" s="3"/>
      <x:c r="D30" s="6" t="n">
        <x:f>AVERAGE(D24:D27)</x:f>
        <x:v>1.2513697996605258</x:v>
      </x:c>
      <x:c r="E30" s="3"/>
      <x:c r="F30" s="3"/>
      <x:c r="G30" s="3"/>
      <x:c r="H30" s="3"/>
      <x:c r="I30" s="3"/>
      <x:c r="J30" s="3"/>
      <x:c r="K30" s="3"/>
      <x:c r="L30" s="3"/>
    </x:row>
    <x:row r="31" ht="20" customHeight="1">
      <x:c r="A31" s="3" t="str">
        <x:v>Between-binary sample SD</x:v>
      </x:c>
      <x:c r="B31" s="3"/>
      <x:c r="C31" s="3"/>
      <x:c r="D31" s="6" t="n">
        <x:f>STDEV(D24:D27)</x:f>
        <x:v>0.023004141076743517</x:v>
      </x:c>
      <x:c r="E31" s="3"/>
      <x:c r="F31" s="3"/>
      <x:c r="G31" s="3"/>
      <x:c r="H31" s="3"/>
      <x:c r="I31" s="3"/>
      <x:c r="J31" s="3"/>
      <x:c r="K31" s="3"/>
      <x:c r="L31" s="3"/>
    </x:row>
    <x:row r="32" ht="20" customHeight="1">
      <x:c r="A32" s="3" t="str">
        <x:v>Mean scale SEM</x:v>
      </x:c>
      <x:c r="B32" s="3"/>
      <x:c r="C32" s="3"/>
      <x:c r="D32" s="6" t="n">
        <x:f>D31/SQRT(COUNT(D24:D27))</x:f>
        <x:v>0.011502070538371758</x:v>
      </x:c>
      <x:c r="E32" s="3"/>
      <x:c r="F32" s="3"/>
      <x:c r="G32" s="3"/>
      <x:c r="H32" s="3"/>
      <x:c r="I32" s="3"/>
      <x:c r="J32" s="3"/>
      <x:c r="K32" s="3"/>
      <x:c r="L32" s="3"/>
    </x:row>
    <x:row r="33" ht="2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0" customHeight="1">
      <x:c r="A35" s="3" t="str">
        <x:v>Image side (pixels)</x:v>
      </x:c>
      <x:c r="B35" s="3"/>
      <x:c r="C35" s="3"/>
      <x:c r="D35" s="3" t="n">
        <x:v>1528</x:v>
      </x:c>
      <x:c r="E35" s="3"/>
      <x:c r="F35" s="3"/>
      <x:c r="G35" s="3"/>
      <x:c r="H35" s="3"/>
      <x:c r="I35" s="3"/>
      <x:c r="J35" s="3"/>
      <x:c r="K35" s="3"/>
      <x:c r="L35" s="3"/>
    </x:row>
    <x:row r="36" ht="20" customHeight="1">
      <x:c r="A36" s="3" t="str">
        <x:v>Field side (arcmin)</x:v>
      </x:c>
      <x:c r="B36" s="3"/>
      <x:c r="C36" s="3"/>
      <x:c r="D36" s="25" t="n">
        <x:f>D35*D30/60</x:f>
        <x:v>31.868217564688056</x:v>
      </x:c>
      <x:c r="E36" s="3"/>
      <x:c r="F36" s="3"/>
      <x:c r="G36" s="3"/>
      <x:c r="H36" s="3"/>
      <x:c r="I36" s="3"/>
      <x:c r="J36" s="3"/>
      <x:c r="K36" s="3"/>
      <x:c r="L36" s="3"/>
    </x:row>
    <x:row r="37" ht="20" customHeight="1">
      <x:c r="A37" s="3" t="str">
        <x:v>Field-side SEM (arcmin)</x:v>
      </x:c>
      <x:c r="B37" s="3"/>
      <x:c r="C37" s="3"/>
      <x:c r="D37" s="25" t="n">
        <x:f>D35*D32/60</x:f>
        <x:v>0.29291939637720077</x:v>
      </x:c>
      <x:c r="E37" s="3"/>
      <x:c r="F37" s="3"/>
      <x:c r="G37" s="3"/>
      <x:c r="H37" s="3"/>
      <x:c r="I37" s="3"/>
      <x:c r="J37" s="3"/>
      <x:c r="K37" s="3"/>
      <x:c r="L37" s="3"/>
    </x:row>
    <x:row r="38" ht="2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0" customHeight="1">
      <x:c r="A40" s="3" t="str">
        <x:v>Saved mean FWHM (pixels)</x:v>
      </x:c>
      <x:c r="B40" s="3"/>
      <x:c r="C40" s="3"/>
      <x:c r="D40" s="3" t="n">
        <x:v>3.471</x:v>
      </x:c>
      <x:c r="E40" s="3"/>
      <x:c r="F40" s="3"/>
      <x:c r="G40" s="3"/>
      <x:c r="H40" s="3"/>
      <x:c r="I40" s="3"/>
      <x:c r="J40" s="3"/>
      <x:c r="K40" s="3"/>
      <x:c r="L40" s="3"/>
    </x:row>
    <x:row r="41" ht="20" customHeight="1">
      <x:c r="A41" s="3" t="str">
        <x:v>Saved FWHM sample SD</x:v>
      </x:c>
      <x:c r="B41" s="3"/>
      <x:c r="C41" s="3"/>
      <x:c r="D41" s="3" t="n">
        <x:v>0.318</x:v>
      </x:c>
      <x:c r="E41" s="3"/>
      <x:c r="F41" s="3"/>
      <x:c r="G41" s="3"/>
      <x:c r="H41" s="3"/>
      <x:c r="I41" s="3"/>
      <x:c r="J41" s="3"/>
      <x:c r="K41" s="3"/>
      <x:c r="L41" s="3"/>
    </x:row>
    <x:row r="42" ht="20" customHeight="1">
      <x:c r="A42" s="3" t="str">
        <x:v>Angular image width (arcsec)</x:v>
      </x:c>
      <x:c r="B42" s="3"/>
      <x:c r="C42" s="3"/>
      <x:c r="D42" s="25" t="n">
        <x:f>D40*D30</x:f>
        <x:v>4.343504574621685</x:v>
      </x:c>
      <x:c r="E42" s="3"/>
      <x:c r="F42" s="3"/>
      <x:c r="G42" s="3"/>
      <x:c r="H42" s="3"/>
      <x:c r="I42" s="3"/>
      <x:c r="J42" s="3"/>
      <x:c r="K42" s="3"/>
      <x:c r="L42" s="3"/>
    </x:row>
    <x:row r="43" ht="20" customHeight="1">
      <x:c r="A43" s="3" t="str">
        <x:v>Width sample scatter (arcsec)</x:v>
      </x:c>
      <x:c r="B43" s="3"/>
      <x:c r="C43" s="3"/>
      <x:c r="D43" s="25" t="n">
        <x:f>D41*D30</x:f>
        <x:v>0.3979355962920472</x:v>
      </x:c>
      <x:c r="E43" s="3"/>
      <x:c r="F43" s="3"/>
      <x:c r="G43" s="3"/>
      <x:c r="H43" s="3"/>
      <x:c r="I43" s="3"/>
      <x:c r="J43" s="3"/>
      <x:c r="K43" s="3"/>
      <x:c r="L43" s="3"/>
    </x:row>
    <x:row r="44" ht="20" customHeight="1">
      <x:c r="A44" s="3" t="str">
        <x:v>Scale contribution (arcsec)</x:v>
      </x:c>
      <x:c r="B44" s="3"/>
      <x:c r="C44" s="3"/>
      <x:c r="D44" s="25" t="n">
        <x:f>D40*D32</x:f>
        <x:v>0.039923686838688376</x:v>
      </x:c>
      <x:c r="E44" s="3"/>
      <x:c r="F44" s="3"/>
      <x:c r="G44" s="3"/>
      <x:c r="H44" s="3"/>
      <x:c r="I44" s="3"/>
      <x:c r="J44" s="3"/>
      <x:c r="K44" s="3"/>
      <x:c r="L44" s="3"/>
    </x:row>
    <x:row r="45" ht="2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20" customHeight="1">
      <x:c r="A47" s="3" t="str">
        <x:v>Width inputs are the six-measurement summary retained in the report, not six reconstructed measurements.</x:v>
      </x:c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20" customHeight="1">
      <x:c r="A48" s="3" t="str">
        <x:v>The width includes focus/tracking effects. Catalog uncertainties and shared systematics are excluded from repeat SEMs.</x:v>
      </x:c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0" customHeight="1">
      <x:c r="A49" s="3" t="str">
        <x:v>Six observed targets remain excluded because their component IDs or separate centroids are not verified.</x:v>
      </x:c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2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</x:row>
    <x:row r="51" ht="20" customHeight="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</x:row>
    <x:row r="52" ht="20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</x:row>
    <x:row r="53" ht="20" customHeight="1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</x:row>
    <x:row r="54" ht="20" customHeight="1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</x:row>
    <x:row r="55" ht="20" customHeight="1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</x:row>
    <x:row r="56" ht="20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</x:row>
    <x:row r="57" ht="20" customHeight="1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</x:row>
    <x:row r="58" ht="20" customHeight="1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</x:row>
    <x:row r="59" ht="20" customHeight="1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</x:row>
    <x:row r="60" ht="20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</x:row>
    <x:row r="61" ht="20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</x:row>
    <x:row r="62" ht="20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</x:row>
    <x:row r="63" ht="20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</x:row>
    <x:row r="64" ht="20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</x:row>
    <x:row r="65" ht="20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</x:row>
    <x:row r="66" ht="20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</x:row>
    <x:row r="67" ht="20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</x:row>
    <x:row r="68" ht="20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</x:row>
    <x:row r="69" ht="20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</x:row>
    <x:row r="70" ht="20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</x:row>
    <x:row r="71" ht="20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</x:row>
    <x:row r="72" ht="20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</x:row>
    <x:row r="73" ht="20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</x:row>
    <x:row r="74" ht="20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</x:row>
    <x:row r="75" ht="20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</x:row>
    <x:row r="76" ht="20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</x:row>
    <x:row r="77" ht="20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</x:row>
    <x:row r="78" ht="20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</x:row>
    <x:row r="79" ht="20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</x:row>
    <x:row r="80" ht="20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</x:row>
  </x:sheetData>
  <x:pageMargins left="0.7" right="0.7" top="0.75" bottom="0.75" header="0.3" footer="0.3"/>
  <x:drawing xmlns:r="http://schemas.openxmlformats.org/officeDocument/2006/relationships" r:id="R51bcfe2c8afa4032"/>
</x:worksheet>
</file>